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tian.flores\Downloads\"/>
    </mc:Choice>
  </mc:AlternateContent>
  <xr:revisionPtr revIDLastSave="0" documentId="13_ncr:1_{C1A7DA0D-DC74-4231-A48C-56CD37B5A5EB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AS IS" sheetId="1" r:id="rId1"/>
    <sheet name="TO BE" sheetId="2" r:id="rId2"/>
    <sheet name="Matriz_Automatizables" sheetId="4" r:id="rId3"/>
    <sheet name="Supuestos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4" l="1"/>
  <c r="I15" i="4" s="1"/>
  <c r="H14" i="4"/>
  <c r="I14" i="4" s="1"/>
  <c r="H13" i="4"/>
  <c r="I13" i="4" s="1"/>
  <c r="H12" i="4"/>
  <c r="I12" i="4" s="1"/>
  <c r="H11" i="4"/>
  <c r="I11" i="4" s="1"/>
  <c r="H10" i="4"/>
  <c r="I10" i="4" s="1"/>
  <c r="H9" i="4"/>
  <c r="I9" i="4" s="1"/>
  <c r="H8" i="4"/>
  <c r="I8" i="4" s="1"/>
  <c r="H7" i="4"/>
  <c r="I7" i="4" s="1"/>
  <c r="H6" i="4"/>
  <c r="I6" i="4" s="1"/>
  <c r="H5" i="4"/>
  <c r="I5" i="4" s="1"/>
  <c r="H4" i="4"/>
  <c r="I4" i="4" s="1"/>
  <c r="H3" i="4"/>
  <c r="I3" i="4" s="1"/>
  <c r="H2" i="4"/>
  <c r="C74" i="1"/>
  <c r="C77" i="1"/>
  <c r="C24" i="3"/>
  <c r="B22" i="3"/>
  <c r="B7" i="3"/>
  <c r="B4" i="3"/>
  <c r="B3" i="3"/>
  <c r="C116" i="2"/>
  <c r="B98" i="2"/>
  <c r="C91" i="2"/>
  <c r="B91" i="2"/>
  <c r="D91" i="2" s="1"/>
  <c r="C90" i="2"/>
  <c r="B90" i="2"/>
  <c r="D90" i="2" s="1"/>
  <c r="C87" i="2"/>
  <c r="C86" i="2"/>
  <c r="B80" i="2"/>
  <c r="D80" i="2" s="1"/>
  <c r="A80" i="2"/>
  <c r="C79" i="2"/>
  <c r="B79" i="2"/>
  <c r="D79" i="2" s="1"/>
  <c r="A79" i="2"/>
  <c r="C78" i="2"/>
  <c r="B78" i="2"/>
  <c r="D78" i="2" s="1"/>
  <c r="A78" i="2"/>
  <c r="D77" i="2"/>
  <c r="C77" i="2"/>
  <c r="B77" i="2"/>
  <c r="A77" i="2"/>
  <c r="D76" i="2"/>
  <c r="C76" i="2"/>
  <c r="B76" i="2"/>
  <c r="B81" i="2" s="1"/>
  <c r="A76" i="2"/>
  <c r="D70" i="2"/>
  <c r="C67" i="2"/>
  <c r="C65" i="2"/>
  <c r="C64" i="2"/>
  <c r="C63" i="2"/>
  <c r="I54" i="2"/>
  <c r="H54" i="2"/>
  <c r="F54" i="2"/>
  <c r="E54" i="2"/>
  <c r="D54" i="2"/>
  <c r="C54" i="2"/>
  <c r="I53" i="2"/>
  <c r="H53" i="2"/>
  <c r="F53" i="2"/>
  <c r="E53" i="2"/>
  <c r="D53" i="2"/>
  <c r="C53" i="2"/>
  <c r="I52" i="2"/>
  <c r="H52" i="2"/>
  <c r="F52" i="2"/>
  <c r="E52" i="2"/>
  <c r="D52" i="2"/>
  <c r="C52" i="2"/>
  <c r="I51" i="2"/>
  <c r="H51" i="2"/>
  <c r="F51" i="2"/>
  <c r="E51" i="2"/>
  <c r="D51" i="2"/>
  <c r="C51" i="2"/>
  <c r="I50" i="2"/>
  <c r="H50" i="2"/>
  <c r="F50" i="2"/>
  <c r="E50" i="2"/>
  <c r="D50" i="2"/>
  <c r="C50" i="2"/>
  <c r="I49" i="2"/>
  <c r="H49" i="2"/>
  <c r="F49" i="2"/>
  <c r="E49" i="2"/>
  <c r="D49" i="2"/>
  <c r="C49" i="2"/>
  <c r="I48" i="2"/>
  <c r="H48" i="2"/>
  <c r="D48" i="2"/>
  <c r="C48" i="2"/>
  <c r="J48" i="2" s="1"/>
  <c r="K48" i="2" s="1"/>
  <c r="I47" i="2"/>
  <c r="H47" i="2"/>
  <c r="D47" i="2"/>
  <c r="C47" i="2"/>
  <c r="J47" i="2" s="1"/>
  <c r="K47" i="2" s="1"/>
  <c r="E40" i="2"/>
  <c r="C40" i="2"/>
  <c r="D40" i="2" s="1"/>
  <c r="F40" i="2" s="1"/>
  <c r="H40" i="2" s="1"/>
  <c r="C111" i="2" s="1"/>
  <c r="B40" i="2"/>
  <c r="E39" i="2"/>
  <c r="C39" i="2"/>
  <c r="D39" i="2" s="1"/>
  <c r="F39" i="2" s="1"/>
  <c r="H39" i="2" s="1"/>
  <c r="B39" i="2"/>
  <c r="E38" i="2"/>
  <c r="D38" i="2"/>
  <c r="C38" i="2"/>
  <c r="B38" i="2"/>
  <c r="E37" i="2"/>
  <c r="D37" i="2"/>
  <c r="F37" i="2" s="1"/>
  <c r="E36" i="2"/>
  <c r="C36" i="2"/>
  <c r="D36" i="2" s="1"/>
  <c r="F36" i="2" s="1"/>
  <c r="H36" i="2" s="1"/>
  <c r="B36" i="2"/>
  <c r="F35" i="2"/>
  <c r="H35" i="2" s="1"/>
  <c r="E35" i="2"/>
  <c r="D35" i="2"/>
  <c r="C35" i="2"/>
  <c r="B35" i="2"/>
  <c r="E34" i="2"/>
  <c r="C34" i="2"/>
  <c r="D34" i="2" s="1"/>
  <c r="F34" i="2" s="1"/>
  <c r="H34" i="2" s="1"/>
  <c r="B34" i="2"/>
  <c r="C15" i="2"/>
  <c r="C14" i="2"/>
  <c r="C13" i="2"/>
  <c r="C11" i="2"/>
  <c r="C10" i="2"/>
  <c r="C4" i="2"/>
  <c r="C5" i="2" s="1"/>
  <c r="D3" i="2"/>
  <c r="B7" i="2" s="1"/>
  <c r="D7" i="2" s="1"/>
  <c r="C78" i="1"/>
  <c r="C76" i="1"/>
  <c r="C75" i="1"/>
  <c r="C71" i="1"/>
  <c r="B116" i="2" s="1"/>
  <c r="B59" i="1"/>
  <c r="D58" i="1" s="1"/>
  <c r="C57" i="1"/>
  <c r="D56" i="1"/>
  <c r="C56" i="1"/>
  <c r="D55" i="1"/>
  <c r="C55" i="1"/>
  <c r="D54" i="1"/>
  <c r="C54" i="1"/>
  <c r="B49" i="1"/>
  <c r="D49" i="1" s="1"/>
  <c r="C48" i="1"/>
  <c r="B48" i="1"/>
  <c r="D48" i="1" s="1"/>
  <c r="A48" i="1"/>
  <c r="D47" i="1"/>
  <c r="C47" i="1"/>
  <c r="B47" i="1"/>
  <c r="A47" i="1"/>
  <c r="D46" i="1"/>
  <c r="C46" i="1"/>
  <c r="B46" i="1"/>
  <c r="A46" i="1"/>
  <c r="C45" i="1"/>
  <c r="B45" i="1"/>
  <c r="D45" i="1" s="1"/>
  <c r="A45" i="1"/>
  <c r="C44" i="1"/>
  <c r="B44" i="1"/>
  <c r="D44" i="1" s="1"/>
  <c r="A44" i="1"/>
  <c r="C43" i="1"/>
  <c r="D43" i="1" s="1"/>
  <c r="D50" i="1" s="1"/>
  <c r="B101" i="2" s="1"/>
  <c r="B43" i="1"/>
  <c r="A43" i="1"/>
  <c r="C34" i="1"/>
  <c r="C33" i="1"/>
  <c r="D25" i="1"/>
  <c r="C35" i="1" s="1"/>
  <c r="D24" i="1"/>
  <c r="C8" i="2" s="1"/>
  <c r="C9" i="2" s="1"/>
  <c r="D22" i="1"/>
  <c r="D21" i="1"/>
  <c r="D20" i="1"/>
  <c r="C6" i="2" s="1"/>
  <c r="C7" i="2" s="1"/>
  <c r="D19" i="1"/>
  <c r="G9" i="1"/>
  <c r="E9" i="1"/>
  <c r="D9" i="1"/>
  <c r="F9" i="1" s="1"/>
  <c r="H9" i="1" s="1"/>
  <c r="D8" i="1"/>
  <c r="F8" i="1" s="1"/>
  <c r="H8" i="1" s="1"/>
  <c r="D7" i="1"/>
  <c r="F7" i="1" s="1"/>
  <c r="H7" i="1" s="1"/>
  <c r="F6" i="1"/>
  <c r="H6" i="1" s="1"/>
  <c r="B109" i="2" s="1"/>
  <c r="D6" i="1"/>
  <c r="D5" i="1"/>
  <c r="F5" i="1" s="1"/>
  <c r="H5" i="1" s="1"/>
  <c r="D4" i="1"/>
  <c r="F4" i="1" s="1"/>
  <c r="H4" i="1" s="1"/>
  <c r="D3" i="1"/>
  <c r="F3" i="1" s="1"/>
  <c r="C106" i="2" l="1"/>
  <c r="B97" i="2"/>
  <c r="H3" i="1"/>
  <c r="B106" i="2"/>
  <c r="B107" i="2"/>
  <c r="C36" i="1"/>
  <c r="F38" i="2"/>
  <c r="H38" i="2" s="1"/>
  <c r="B8" i="2"/>
  <c r="D8" i="2" s="1"/>
  <c r="B12" i="2"/>
  <c r="B9" i="2"/>
  <c r="D9" i="2" s="1"/>
  <c r="B11" i="2" s="1"/>
  <c r="D11" i="2" s="1"/>
  <c r="D81" i="2"/>
  <c r="C105" i="2"/>
  <c r="C110" i="2"/>
  <c r="B110" i="2"/>
  <c r="B111" i="2"/>
  <c r="C107" i="2"/>
  <c r="B108" i="2"/>
  <c r="B67" i="2"/>
  <c r="D67" i="2" s="1"/>
  <c r="B5" i="2"/>
  <c r="D5" i="2" s="1"/>
  <c r="D26" i="1"/>
  <c r="C73" i="1" s="1"/>
  <c r="B119" i="2" s="1"/>
  <c r="B4" i="2"/>
  <c r="D4" i="2" s="1"/>
  <c r="D57" i="1"/>
  <c r="C58" i="1"/>
  <c r="C59" i="1" s="1"/>
  <c r="B6" i="2"/>
  <c r="D6" i="2" s="1"/>
  <c r="B10" i="2" l="1"/>
  <c r="D10" i="2" s="1"/>
  <c r="B16" i="2"/>
  <c r="C37" i="1"/>
  <c r="C38" i="1"/>
  <c r="B100" i="2" s="1"/>
  <c r="B120" i="2"/>
  <c r="B117" i="2"/>
  <c r="C39" i="1"/>
  <c r="C109" i="2"/>
  <c r="H10" i="1"/>
  <c r="B105" i="2"/>
  <c r="B112" i="2" s="1"/>
  <c r="B86" i="2"/>
  <c r="D86" i="2" s="1"/>
  <c r="B87" i="2"/>
  <c r="D87" i="2" s="1"/>
  <c r="D82" i="2"/>
  <c r="G37" i="2" s="1"/>
  <c r="H37" i="2" s="1"/>
  <c r="C81" i="2"/>
  <c r="C98" i="2"/>
  <c r="H12" i="1" l="1"/>
  <c r="H13" i="1"/>
  <c r="I6" i="1"/>
  <c r="I4" i="1"/>
  <c r="I5" i="1"/>
  <c r="I7" i="1"/>
  <c r="I8" i="1"/>
  <c r="I9" i="1"/>
  <c r="L48" i="2"/>
  <c r="L47" i="2"/>
  <c r="D12" i="2"/>
  <c r="G51" i="2"/>
  <c r="J51" i="2" s="1"/>
  <c r="K51" i="2" s="1"/>
  <c r="G52" i="2"/>
  <c r="J52" i="2" s="1"/>
  <c r="K52" i="2" s="1"/>
  <c r="I37" i="2"/>
  <c r="G50" i="2"/>
  <c r="J50" i="2" s="1"/>
  <c r="K50" i="2" s="1"/>
  <c r="C108" i="2"/>
  <c r="C112" i="2" s="1"/>
  <c r="G53" i="2"/>
  <c r="J53" i="2" s="1"/>
  <c r="K53" i="2" s="1"/>
  <c r="G49" i="2"/>
  <c r="J49" i="2" s="1"/>
  <c r="K49" i="2" s="1"/>
  <c r="G54" i="2"/>
  <c r="J54" i="2" s="1"/>
  <c r="K54" i="2" s="1"/>
  <c r="H41" i="2"/>
  <c r="I3" i="1"/>
  <c r="B99" i="2"/>
  <c r="C72" i="1"/>
  <c r="D98" i="2"/>
  <c r="E98" i="2"/>
  <c r="D16" i="2"/>
  <c r="B118" i="2" l="1"/>
  <c r="B122" i="2"/>
  <c r="B13" i="2"/>
  <c r="D13" i="2" s="1"/>
  <c r="B14" i="2"/>
  <c r="D14" i="2" s="1"/>
  <c r="B64" i="2" s="1"/>
  <c r="D64" i="2" s="1"/>
  <c r="B66" i="2"/>
  <c r="D66" i="2" s="1"/>
  <c r="C12" i="2"/>
  <c r="C119" i="2"/>
  <c r="B89" i="2"/>
  <c r="B15" i="2"/>
  <c r="D15" i="2" s="1"/>
  <c r="B65" i="2" s="1"/>
  <c r="D65" i="2" s="1"/>
  <c r="L53" i="2"/>
  <c r="L49" i="2"/>
  <c r="L55" i="2" s="1"/>
  <c r="L54" i="2"/>
  <c r="L51" i="2"/>
  <c r="C16" i="2"/>
  <c r="L52" i="2"/>
  <c r="L50" i="2"/>
  <c r="I10" i="1"/>
  <c r="H43" i="2"/>
  <c r="I40" i="2"/>
  <c r="I34" i="2"/>
  <c r="I41" i="2" s="1"/>
  <c r="I35" i="2"/>
  <c r="I36" i="2"/>
  <c r="I39" i="2"/>
  <c r="I38" i="2"/>
  <c r="B96" i="2"/>
  <c r="H15" i="1"/>
  <c r="K58" i="2"/>
  <c r="C97" i="2" s="1"/>
  <c r="K59" i="2" l="1"/>
  <c r="K57" i="2"/>
  <c r="C96" i="2" s="1"/>
  <c r="E97" i="2"/>
  <c r="D97" i="2"/>
  <c r="B63" i="2"/>
  <c r="D63" i="2" s="1"/>
  <c r="D68" i="2" s="1"/>
  <c r="D89" i="2"/>
  <c r="C79" i="1"/>
  <c r="C80" i="1" s="1"/>
  <c r="B121" i="2"/>
  <c r="C117" i="2" l="1"/>
  <c r="C120" i="2" s="1"/>
  <c r="D72" i="2"/>
  <c r="C100" i="2" s="1"/>
  <c r="D71" i="2"/>
  <c r="D88" i="2"/>
  <c r="D92" i="2" s="1"/>
  <c r="C101" i="2" s="1"/>
  <c r="E96" i="2"/>
  <c r="D96" i="2"/>
  <c r="D100" i="2" l="1"/>
  <c r="E100" i="2"/>
  <c r="D101" i="2"/>
  <c r="E101" i="2"/>
  <c r="C118" i="2"/>
  <c r="C99" i="2"/>
  <c r="E99" i="2" l="1"/>
  <c r="D99" i="2"/>
  <c r="C122" i="2"/>
  <c r="C121" i="2"/>
</calcChain>
</file>

<file path=xl/sharedStrings.xml><?xml version="1.0" encoding="utf-8"?>
<sst xmlns="http://schemas.openxmlformats.org/spreadsheetml/2006/main" count="450" uniqueCount="339">
  <si>
    <t>Tabla 1. Tiempo de ciclo por etapa (AS IS)</t>
  </si>
  <si>
    <t>Etapa</t>
  </si>
  <si>
    <t>Actividades</t>
  </si>
  <si>
    <t>T. ejecución (min)</t>
  </si>
  <si>
    <t>T. ejecución (h)</t>
  </si>
  <si>
    <t>T. espera (h)</t>
  </si>
  <si>
    <t>T. total (h)</t>
  </si>
  <si>
    <t>% de casos</t>
  </si>
  <si>
    <t>T. ponderado (h)</t>
  </si>
  <si>
    <t>% del total</t>
  </si>
  <si>
    <t>1. Recepción y digitación</t>
  </si>
  <si>
    <t>Recibir documentos, digitar en el core</t>
  </si>
  <si>
    <t>2. Verificación</t>
  </si>
  <si>
    <t>Identidad, buró, listas de control</t>
  </si>
  <si>
    <t>3. Análisis de riesgo</t>
  </si>
  <si>
    <t>Redigitar en hoja de evaluación, evaluar</t>
  </si>
  <si>
    <t>4. Aprobación</t>
  </si>
  <si>
    <t>Resolver según nivel o comité</t>
  </si>
  <si>
    <t>5. Instrumentación</t>
  </si>
  <si>
    <t>Contrato, pagaré, garantías</t>
  </si>
  <si>
    <t>6. Desembolso</t>
  </si>
  <si>
    <t>Acreditar fondos</t>
  </si>
  <si>
    <t>Reproceso por devolución</t>
  </si>
  <si>
    <t>2.ª revisión del expediente corregido + nueva cola en fábrica</t>
  </si>
  <si>
    <t>Total</t>
  </si>
  <si>
    <t>Tiempo de ciclo promedio (días hábiles de 8 h)</t>
  </si>
  <si>
    <t>Eficiencia del ciclo (ejecución ponderada / total)</t>
  </si>
  <si>
    <t>Meta (días hábiles)</t>
  </si>
  <si>
    <t>Reducción necesaria</t>
  </si>
  <si>
    <t>Tabla 2. Volumen mensual de solicitudes</t>
  </si>
  <si>
    <t>Concepto</t>
  </si>
  <si>
    <t>Detalle</t>
  </si>
  <si>
    <t>Solicitudes</t>
  </si>
  <si>
    <t>% de ingresadas</t>
  </si>
  <si>
    <t>Ingresadas</t>
  </si>
  <si>
    <t>Llegan a análisis de riesgo</t>
  </si>
  <si>
    <t>300 no llegan (incompletas o rechazadas en verificación)</t>
  </si>
  <si>
    <t>Aprobadas</t>
  </si>
  <si>
    <t>360 no aprobadas</t>
  </si>
  <si>
    <t>Desembolsadas</t>
  </si>
  <si>
    <t>120 desisten después de aprobadas</t>
  </si>
  <si>
    <t>Tasa de aprobación (aprobadas / analizadas)</t>
  </si>
  <si>
    <t>Devoluciones a agencia al mes</t>
  </si>
  <si>
    <t>Casos que pasan por la fábrica (1.ª + 2.ª revisión)</t>
  </si>
  <si>
    <t>Tabla 3. Capacidad de la fábrica de crédito</t>
  </si>
  <si>
    <t>Cálculo</t>
  </si>
  <si>
    <t>Valor</t>
  </si>
  <si>
    <t>Unidad</t>
  </si>
  <si>
    <t>Tasa de devolución</t>
  </si>
  <si>
    <t>Dato del caso</t>
  </si>
  <si>
    <t>Analistas</t>
  </si>
  <si>
    <t>personas</t>
  </si>
  <si>
    <t>Horas productivas por analista</t>
  </si>
  <si>
    <t>h/mes</t>
  </si>
  <si>
    <t>Capacidad disponible</t>
  </si>
  <si>
    <t>Analistas × horas productivas</t>
  </si>
  <si>
    <t>Demanda · primera revisión</t>
  </si>
  <si>
    <t>Analizadas × 45 min / 60</t>
  </si>
  <si>
    <t>Demanda · segunda revisión</t>
  </si>
  <si>
    <t>Devoluciones × 30 min / 60</t>
  </si>
  <si>
    <t>Demanda total</t>
  </si>
  <si>
    <t>Utilización</t>
  </si>
  <si>
    <t>Demanda / capacidad</t>
  </si>
  <si>
    <t>Analistas necesarios para trabajar al 85 %</t>
  </si>
  <si>
    <t>Demanda / (140 × 0,85)</t>
  </si>
  <si>
    <t>Horas que consume el reproceso</t>
  </si>
  <si>
    <t>Segunda revisión / demanda total</t>
  </si>
  <si>
    <t>Tabla 4. Horas de trabajo al mes por etapa</t>
  </si>
  <si>
    <t>Solicitudes/mes</t>
  </si>
  <si>
    <t>Minutos por solicitud</t>
  </si>
  <si>
    <t>Horas/mes</t>
  </si>
  <si>
    <t>Reproceso (2.ª revisión)</t>
  </si>
  <si>
    <t>Tabla 5. Causas de devolución</t>
  </si>
  <si>
    <t>Causa</t>
  </si>
  <si>
    <t>Devoluciones/mes</t>
  </si>
  <si>
    <t>%</t>
  </si>
  <si>
    <t>% acumulado</t>
  </si>
  <si>
    <t>Documentos de ingresos incompletos o ilegibles</t>
  </si>
  <si>
    <t>Datos digitados que no coinciden con los documentos</t>
  </si>
  <si>
    <t>Falta la autorización de consulta al buró</t>
  </si>
  <si>
    <t>Dirección o referencias sin verificar</t>
  </si>
  <si>
    <t>Otras</t>
  </si>
  <si>
    <t>Conclusiones</t>
  </si>
  <si>
    <t>1. El proceso tarda 9,8 días hábiles; la meta de 3 días exige reducirlo en 69 %.</t>
  </si>
  <si>
    <t>2. El 96 % del tiempo es espera. El trabajo real suma 3,3 horas por solicitud, por lo que el problema no es la velocidad de las personas sino las colas y traspasos.</t>
  </si>
  <si>
    <t>3. La fábrica de crédito es el cuello de botella: trabaja al 96 % de su capacidad y el 17 % de sus horas se van en revisar otra vez expedientes devueltos.</t>
  </si>
  <si>
    <t>4. Dos causas explican el 70 % de las devoluciones: documentos de ingresos y datos mal digitados. Ambas nacen en la captura en agencia.</t>
  </si>
  <si>
    <t>5. Según la teoría de colas (tabla 6), la saturación de la fábrica explica solo unas 2 de las 24 horas de espera antes del análisis; el resto se debe al traslado del expediente físico y al trabajo por lotes. Contratar analistas reduciría poco el tiempo de ciclo.</t>
  </si>
  <si>
    <t>Tabla 6. Espera teórica en la fábrica de crédito (teoría de colas)</t>
  </si>
  <si>
    <t>Servidores (analistas)</t>
  </si>
  <si>
    <t>Tabla 3</t>
  </si>
  <si>
    <t>Visitas a la fábrica</t>
  </si>
  <si>
    <t>1.ª + 2.ª revisión</t>
  </si>
  <si>
    <t>casos/mes</t>
  </si>
  <si>
    <t>Tiempo medio de atención</t>
  </si>
  <si>
    <t>Demanda en minutos / visitas</t>
  </si>
  <si>
    <t>Variabilidad de las llegadas (CV²)</t>
  </si>
  <si>
    <t>Hoja Supuestos</t>
  </si>
  <si>
    <t>Variabilidad del tiempo de atención (CV²)</t>
  </si>
  <si>
    <t>Espera teórica en cola</t>
  </si>
  <si>
    <t>Aproximación de Sakasegawa para varios servidores</t>
  </si>
  <si>
    <t>h</t>
  </si>
  <si>
    <t>Espera antes del análisis según el caso</t>
  </si>
  <si>
    <t>Tabla 1</t>
  </si>
  <si>
    <t>Parte de la espera que explica la saturación</t>
  </si>
  <si>
    <t>Espera teórica / espera del caso</t>
  </si>
  <si>
    <t>Parte que explican otras causas</t>
  </si>
  <si>
    <t>Traslado del expediente físico, lotes, prioridades</t>
  </si>
  <si>
    <t>Espera teórica en cola (h)</t>
  </si>
  <si>
    <t>Tabla 8. Ruta de las solicitudes en el TO BE (al mes)</t>
  </si>
  <si>
    <t>Base (solicitudes)</t>
  </si>
  <si>
    <t>% aplicado</t>
  </si>
  <si>
    <t>Cómo se obtiene</t>
  </si>
  <si>
    <t>Solicitudes AS IS</t>
  </si>
  <si>
    <t>Canal digital</t>
  </si>
  <si>
    <t>Supuesto: canal digital</t>
  </si>
  <si>
    <t>Canal físico (agencia)</t>
  </si>
  <si>
    <t>Resto de solicitudes</t>
  </si>
  <si>
    <t>No llegan a decisión</t>
  </si>
  <si>
    <t>Igual que el AS IS</t>
  </si>
  <si>
    <t>Llegan a decisión</t>
  </si>
  <si>
    <t>Igual tasa de aprobación que el AS IS</t>
  </si>
  <si>
    <t>Rechazadas</t>
  </si>
  <si>
    <t>Resto</t>
  </si>
  <si>
    <t>N1 · Aprobación directa por el sistema</t>
  </si>
  <si>
    <t>Supuesto: buró A, ingreso verificado en fuente, cuota ≤ 40 %</t>
  </si>
  <si>
    <t>N0 · Rechazo automático</t>
  </si>
  <si>
    <t>Supuesto: incumple reglas de política</t>
  </si>
  <si>
    <t>Revisión humana (N2 a N4)</t>
  </si>
  <si>
    <t>Las que el sistema no resuelve</t>
  </si>
  <si>
    <t xml:space="preserve">   N2 · Revisión parcial (solo ingresos)</t>
  </si>
  <si>
    <t>Supuesto</t>
  </si>
  <si>
    <t xml:space="preserve">   N3 · Revisión completa</t>
  </si>
  <si>
    <t xml:space="preserve">   N4 · Comité</t>
  </si>
  <si>
    <t>Aprobadas por revisión humana</t>
  </si>
  <si>
    <t>Aprobadas que no fueron directas</t>
  </si>
  <si>
    <t>Tabla 9. Tiempos de diseño por canal</t>
  </si>
  <si>
    <t>Qué cambia</t>
  </si>
  <si>
    <t>Agencia: ejecución (min)</t>
  </si>
  <si>
    <t>Agencia: espera (h)</t>
  </si>
  <si>
    <t>Digital: ejecución (min)</t>
  </si>
  <si>
    <t>Digital: espera (h)</t>
  </si>
  <si>
    <t>Captura y precalificación</t>
  </si>
  <si>
    <t>Una sola captura en plataforma; autorizaciones firmadas y escaneadas</t>
  </si>
  <si>
    <t>Validación documental</t>
  </si>
  <si>
    <t>Software lee documentos; buró, listas, Registro Civil y SRI en paralelo</t>
  </si>
  <si>
    <t>Instrumentación</t>
  </si>
  <si>
    <t>Documentos generados por el sistema</t>
  </si>
  <si>
    <t>Instrumentación con aprobación directa</t>
  </si>
  <si>
    <t>Firma en la misma visita, o impresa y escaneada</t>
  </si>
  <si>
    <t>Desembolso</t>
  </si>
  <si>
    <t>Acreditación integrada al core</t>
  </si>
  <si>
    <t>Tabla 10. Tiempos de diseño por nivel de revisión</t>
  </si>
  <si>
    <t>Nivel</t>
  </si>
  <si>
    <t>Qué revisa</t>
  </si>
  <si>
    <t>Analista (min)</t>
  </si>
  <si>
    <t>Espera antes del analista (h)</t>
  </si>
  <si>
    <t>Aprobación (min)</t>
  </si>
  <si>
    <t>Espera de aprobación (h)</t>
  </si>
  <si>
    <t>N2 · Revisión parcial</t>
  </si>
  <si>
    <t>Solo ingresos</t>
  </si>
  <si>
    <t>N3 · Revisión completa</t>
  </si>
  <si>
    <t>Todo el expediente</t>
  </si>
  <si>
    <t>N4 · Comité</t>
  </si>
  <si>
    <t>Todo el expediente + comité</t>
  </si>
  <si>
    <t>Tabla 11. Tiempo por etapa · caso típico (revisión completa, en agencia)</t>
  </si>
  <si>
    <t>1. Captura y precalificación</t>
  </si>
  <si>
    <t>2. Validación documental</t>
  </si>
  <si>
    <t>3. Revisión del analista</t>
  </si>
  <si>
    <t>2.ª revisión del expediente corregido + espera antes del analista</t>
  </si>
  <si>
    <t>Tiempo de ciclo (días hábiles de 8 h)</t>
  </si>
  <si>
    <t>Tabla 12. Tiempo por tipo de solicitud aprobada</t>
  </si>
  <si>
    <t>Tipo</t>
  </si>
  <si>
    <t>Canal</t>
  </si>
  <si>
    <t>Captura (h)</t>
  </si>
  <si>
    <t>Validación (h)</t>
  </si>
  <si>
    <t>Revisión (h)</t>
  </si>
  <si>
    <t>Aprobación (h)</t>
  </si>
  <si>
    <t>Reproceso (h)</t>
  </si>
  <si>
    <t>Instrumentación (h)</t>
  </si>
  <si>
    <t>Desembolso (h)</t>
  </si>
  <si>
    <t>Total (h)</t>
  </si>
  <si>
    <t>Días hábiles</t>
  </si>
  <si>
    <t>Aprobadas/mes</t>
  </si>
  <si>
    <t>N1 · Aprobación directa</t>
  </si>
  <si>
    <t>Agencia</t>
  </si>
  <si>
    <t>Digital</t>
  </si>
  <si>
    <t>Promedio ponderado (días)</t>
  </si>
  <si>
    <t>Caso más lento (días)</t>
  </si>
  <si>
    <t>Aprobados en 1 día o menos</t>
  </si>
  <si>
    <t>Tabla 13. Capacidad de la fábrica de crédito (TO BE)</t>
  </si>
  <si>
    <t>Casos/mes</t>
  </si>
  <si>
    <t>Minutos por caso</t>
  </si>
  <si>
    <t>Revisión parcial (N2)</t>
  </si>
  <si>
    <t>Revisión completa (N3)</t>
  </si>
  <si>
    <t>Revisión para comité (N4)</t>
  </si>
  <si>
    <t>Segundas revisiones (revisión humana × tasa de devolución)</t>
  </si>
  <si>
    <t>Documentos que el software no lee con confianza</t>
  </si>
  <si>
    <t>Capacidad disponible (igual que el AS IS, h/mes)</t>
  </si>
  <si>
    <t>Utilización (demanda / capacidad)</t>
  </si>
  <si>
    <t>Tabla 14. Devoluciones esperadas en el TO BE</t>
  </si>
  <si>
    <t>AS IS</t>
  </si>
  <si>
    <t>Reducción</t>
  </si>
  <si>
    <t>TO BE</t>
  </si>
  <si>
    <t>Cómo se logra</t>
  </si>
  <si>
    <t>Verificación en fuente según el tipo de ingreso</t>
  </si>
  <si>
    <t>El software extrae el dato una sola vez</t>
  </si>
  <si>
    <t>No se puede precalificar sin la autorización firmada</t>
  </si>
  <si>
    <t>Regla de documentos requeridos por perfil</t>
  </si>
  <si>
    <t>Sin control definido</t>
  </si>
  <si>
    <t>Tasa de devolución TO BE (devoluciones / llegan a decisión)</t>
  </si>
  <si>
    <t>Tabla 15. Horas de trabajo al mes (TO BE)</t>
  </si>
  <si>
    <t>Captura en agencia</t>
  </si>
  <si>
    <t>Validación en agencia</t>
  </si>
  <si>
    <t>Fábrica de crédito (tabla 13)</t>
  </si>
  <si>
    <t>Aprobación (N2 y N3: 10 min; N4: 25 min)</t>
  </si>
  <si>
    <t>Tabla 16. Comparación AS IS – TO BE</t>
  </si>
  <si>
    <t>Indicador</t>
  </si>
  <si>
    <t>Diferencia</t>
  </si>
  <si>
    <t>Variación</t>
  </si>
  <si>
    <t>Tiempo de ciclo promedio (días)</t>
  </si>
  <si>
    <t>Devoluciones al mes</t>
  </si>
  <si>
    <t>Utilización de la fábrica</t>
  </si>
  <si>
    <t>Analistas necesarios al 85 %</t>
  </si>
  <si>
    <t>Horas de trabajo al mes</t>
  </si>
  <si>
    <t>Tabla 17. Tiempo por etapa: AS IS frente a TO BE caso típico (horas)</t>
  </si>
  <si>
    <t>1. Recepción / captura</t>
  </si>
  <si>
    <t>2. Verificación / validación</t>
  </si>
  <si>
    <t>3. Análisis / revisión</t>
  </si>
  <si>
    <t>Reproceso</t>
  </si>
  <si>
    <t>Tabla 18. Espera teórica en la fábrica: AS IS frente a TO BE</t>
  </si>
  <si>
    <t>Demanda (h/mes)</t>
  </si>
  <si>
    <t>Visitas a la fábrica (casos/mes)</t>
  </si>
  <si>
    <t>Tiempo medio de atención (min)</t>
  </si>
  <si>
    <t>Solicitudes/mes que se pueden atender al 85 %</t>
  </si>
  <si>
    <t>Fuente</t>
  </si>
  <si>
    <t>Solicitudes que llegan por canal digital</t>
  </si>
  <si>
    <t>INEC TIC 2024: 77 % usa internet y 58 % tiene smartphone; Findex 2025: 43 % hace pagos digitales</t>
  </si>
  <si>
    <t>Aprobaciones que resuelve el sistema sin analista (N1)</t>
  </si>
  <si>
    <t>Cornerstone Advisors 2022: 1 de cada 3 préstamos en entidades con decisión automática</t>
  </si>
  <si>
    <t>Rechazos automáticos (N0)</t>
  </si>
  <si>
    <t>Mismo criterio que N1</t>
  </si>
  <si>
    <t>Revisión humana que va a N2</t>
  </si>
  <si>
    <t>Revisión humana que va a N3</t>
  </si>
  <si>
    <t>Revisión humana que va a N4</t>
  </si>
  <si>
    <t>Minutos para revisar a mano esos documentos</t>
  </si>
  <si>
    <t>Criterio de diseño</t>
  </si>
  <si>
    <t>Reducción de devoluciones por datos mal digitados</t>
  </si>
  <si>
    <t>El dato se extrae una sola vez del documento</t>
  </si>
  <si>
    <t>Reducción de devoluciones por falta de autorización de buró</t>
  </si>
  <si>
    <t>La precalificación no avanza sin la autorización firmada</t>
  </si>
  <si>
    <t>Reducción de devoluciones por dirección o referencias</t>
  </si>
  <si>
    <t>Efecto parcial de la regla de documentos requeridos</t>
  </si>
  <si>
    <t>Corrección en agencia (AS IS)</t>
  </si>
  <si>
    <t>El caso no da el dato; se toma 0 h (el expediente vuelve a la cola de fábrica)</t>
  </si>
  <si>
    <t>Capacidad de pago máxima</t>
  </si>
  <si>
    <t>Política de la entidad</t>
  </si>
  <si>
    <t>Tipo de ingreso del solicitante</t>
  </si>
  <si>
    <t>% de solicitantes</t>
  </si>
  <si>
    <t>Reducción de devoluciones por ingresos</t>
  </si>
  <si>
    <t>Dependiente afiliado al IESS</t>
  </si>
  <si>
    <t>IESS / INEC 2026: 45,4 % de la PEA cotiza</t>
  </si>
  <si>
    <t>Remesista que recibe en el banco</t>
  </si>
  <si>
    <t>Findex 2025: 13 % de adultos recibe remesas (se asume la mitad en el banco)</t>
  </si>
  <si>
    <t>Remesista que recibe por otra vía</t>
  </si>
  <si>
    <t>Idem</t>
  </si>
  <si>
    <t>Independiente con factura electrónica</t>
  </si>
  <si>
    <t>SRI: catastro RIMPE, emprendedores frente a negocios populares</t>
  </si>
  <si>
    <t>Independiente sin factura (negocio popular u otros)</t>
  </si>
  <si>
    <t>Reducción ponderada de devoluciones por ingresos</t>
  </si>
  <si>
    <t>Supuesto para teoría de colas</t>
  </si>
  <si>
    <t>Llegadas aleatorias (proceso de Poisson); el caso no da la dispersión</t>
  </si>
  <si>
    <t>Tiempos exponenciales; el caso solo da promedios</t>
  </si>
  <si>
    <t>minutos</t>
  </si>
  <si>
    <t>Actividad AS-IS</t>
  </si>
  <si>
    <t>Volumen</t>
  </si>
  <si>
    <t>Repetitividad</t>
  </si>
  <si>
    <t>Basada en reglas</t>
  </si>
  <si>
    <t>Datos digitales</t>
  </si>
  <si>
    <t>Riesgo de error humano</t>
  </si>
  <si>
    <t>Potencial</t>
  </si>
  <si>
    <t>Clase</t>
  </si>
  <si>
    <t>Decisión</t>
  </si>
  <si>
    <t>Habilitador</t>
  </si>
  <si>
    <t>Justificación por el diagnóstico</t>
  </si>
  <si>
    <t>Pesos (editables)</t>
  </si>
  <si>
    <t>1.1 Recibir documentos físicos</t>
  </si>
  <si>
    <t>1</t>
  </si>
  <si>
    <t>Digitalizar</t>
  </si>
  <si>
    <t>Plataforma con canal digital y asistido; DMN de requisitos por perfil</t>
  </si>
  <si>
    <t>144 devoluciones por documentos de ingreso</t>
  </si>
  <si>
    <t>1.2 Digitar solicitud en el core</t>
  </si>
  <si>
    <t>Automatizar</t>
  </si>
  <si>
    <t>Software de extracción: el dato se lee una vez del documento</t>
  </si>
  <si>
    <t>108 devoluciones por datos que no coinciden</t>
  </si>
  <si>
    <t>2.1 Validar identidad y consultar buró</t>
  </si>
  <si>
    <t>2</t>
  </si>
  <si>
    <t>Biometría del Registro Civil y buró por integración</t>
  </si>
  <si>
    <t>54 devoluciones por autorización; quien origina verifica</t>
  </si>
  <si>
    <t>2.2 Revisar listas de control</t>
  </si>
  <si>
    <t>Consulta automática con evidencia y alerta a Cumplimiento</t>
  </si>
  <si>
    <t>Revisión sin evidencia [p.1]</t>
  </si>
  <si>
    <t>2.3 Enviar expediente físico a fábrica</t>
  </si>
  <si>
    <t>Eliminar</t>
  </si>
  <si>
    <t>Expediente digital en la plataforma</t>
  </si>
  <si>
    <t>Espera de 24 h previa a análisis</t>
  </si>
  <si>
    <t>3.1 Redigitar datos en hoja de evaluación</t>
  </si>
  <si>
    <t>3</t>
  </si>
  <si>
    <t>El analista trabaja sobre el dato extraído</t>
  </si>
  <si>
    <t>Doble digitación; fábrica al 96,4 %</t>
  </si>
  <si>
    <t>3.2 Evaluar riesgo crediticio</t>
  </si>
  <si>
    <t>Asistir (no sustituir)</t>
  </si>
  <si>
    <t>DMN de decisión con carriles; el analista resuelve la zona gris</t>
  </si>
  <si>
    <t>Restricción del proceso</t>
  </si>
  <si>
    <t>3.3 Completar o corregir expediente</t>
  </si>
  <si>
    <t>Prevenir</t>
  </si>
  <si>
    <t>La corrección ocurre en la captura, guiada por la plataforma</t>
  </si>
  <si>
    <t>30 % de devolución</t>
  </si>
  <si>
    <t>3.4 Revisar expediente corregido</t>
  </si>
  <si>
    <t>Se reduce al bajar la devolución residual</t>
  </si>
  <si>
    <t>360 revisiones/mes</t>
  </si>
  <si>
    <t>4.1 Aprobar excepción por correo</t>
  </si>
  <si>
    <t>4</t>
  </si>
  <si>
    <t>Digitalizar registro</t>
  </si>
  <si>
    <t>Flujo electrónico con registro; la decisión sigue siendo humana</t>
  </si>
  <si>
    <t>Excepciones sin registro [p.1]</t>
  </si>
  <si>
    <t>4.2 Resolver solicitud según nivel</t>
  </si>
  <si>
    <t>Automatizar flujo</t>
  </si>
  <si>
    <t>Atribuciones electrónicas; aprobación automática por DMN bajo umbral</t>
  </si>
  <si>
    <t>Espera de 16 h por comité</t>
  </si>
  <si>
    <t>5.1 Elaborar contrato, pagaré y garantías</t>
  </si>
  <si>
    <t>5</t>
  </si>
  <si>
    <t>Generación automática de documentos</t>
  </si>
  <si>
    <t>Espera de 12 h y 45 min de trabajo</t>
  </si>
  <si>
    <t>6.1 Acreditar fondos en el core</t>
  </si>
  <si>
    <t>6</t>
  </si>
  <si>
    <t>Desembolso integrado tras checklist</t>
  </si>
  <si>
    <t>15 min y espera de 4 h</t>
  </si>
  <si>
    <t>Criterio conservador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</si>
</sst>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7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4E1D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0" fontId="2" fillId="0" borderId="0" xfId="0" applyFont="1"/>
    <xf numFmtId="2" fontId="1" fillId="0" borderId="1" xfId="0" applyNumberFormat="1" applyFont="1" applyBorder="1"/>
    <xf numFmtId="165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164" fontId="1" fillId="0" borderId="1" xfId="0" applyNumberFormat="1" applyFont="1" applyBorder="1"/>
    <xf numFmtId="2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165" fontId="5" fillId="4" borderId="2" xfId="0" applyNumberFormat="1" applyFont="1" applyFill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>
          <bgColor rgb="FFF4E1D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Tiempo por etapa (horas)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'AS IS'!$D$2</c:f>
              <c:strCache>
                <c:ptCount val="1"/>
                <c:pt idx="0">
                  <c:v>T. ejecución (h)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 IS'!$A$3:$A$8</c:f>
              <c:strCache>
                <c:ptCount val="6"/>
                <c:pt idx="0">
                  <c:v>1. Recepción y digitación</c:v>
                </c:pt>
                <c:pt idx="1">
                  <c:v>2. Verificación</c:v>
                </c:pt>
                <c:pt idx="2">
                  <c:v>3. Análisis de riesgo</c:v>
                </c:pt>
                <c:pt idx="3">
                  <c:v>4. Aprobación</c:v>
                </c:pt>
                <c:pt idx="4">
                  <c:v>5. Instrumentación</c:v>
                </c:pt>
                <c:pt idx="5">
                  <c:v>6. Desembolso</c:v>
                </c:pt>
              </c:strCache>
            </c:strRef>
          </c:cat>
          <c:val>
            <c:numRef>
              <c:f>'AS IS'!$D$3:$D$8</c:f>
              <c:numCache>
                <c:formatCode>0.00</c:formatCode>
                <c:ptCount val="6"/>
                <c:pt idx="0">
                  <c:v>0.66666666666666663</c:v>
                </c:pt>
                <c:pt idx="1">
                  <c:v>0.5</c:v>
                </c:pt>
                <c:pt idx="2">
                  <c:v>0.75</c:v>
                </c:pt>
                <c:pt idx="3">
                  <c:v>0.25</c:v>
                </c:pt>
                <c:pt idx="4">
                  <c:v>0.75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6-4F19-8B08-6D0905FF1B9E}"/>
            </c:ext>
          </c:extLst>
        </c:ser>
        <c:ser>
          <c:idx val="1"/>
          <c:order val="1"/>
          <c:tx>
            <c:strRef>
              <c:f>'AS IS'!$E$2</c:f>
              <c:strCache>
                <c:ptCount val="1"/>
                <c:pt idx="0">
                  <c:v>T. espera (h)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 IS'!$A$3:$A$8</c:f>
              <c:strCache>
                <c:ptCount val="6"/>
                <c:pt idx="0">
                  <c:v>1. Recepción y digitación</c:v>
                </c:pt>
                <c:pt idx="1">
                  <c:v>2. Verificación</c:v>
                </c:pt>
                <c:pt idx="2">
                  <c:v>3. Análisis de riesgo</c:v>
                </c:pt>
                <c:pt idx="3">
                  <c:v>4. Aprobación</c:v>
                </c:pt>
                <c:pt idx="4">
                  <c:v>5. Instrumentación</c:v>
                </c:pt>
                <c:pt idx="5">
                  <c:v>6. Desembolso</c:v>
                </c:pt>
              </c:strCache>
            </c:strRef>
          </c:cat>
          <c:val>
            <c:numRef>
              <c:f>'AS IS'!$E$3:$E$8</c:f>
              <c:numCache>
                <c:formatCode>#,##0.0</c:formatCode>
                <c:ptCount val="6"/>
                <c:pt idx="0">
                  <c:v>4</c:v>
                </c:pt>
                <c:pt idx="1">
                  <c:v>8</c:v>
                </c:pt>
                <c:pt idx="2">
                  <c:v>24</c:v>
                </c:pt>
                <c:pt idx="3">
                  <c:v>16</c:v>
                </c:pt>
                <c:pt idx="4">
                  <c:v>12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16-4F19-8B08-6D0905FF1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087433"/>
        <c:axId val="30327940"/>
      </c:barChart>
      <c:catAx>
        <c:axId val="4108743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30327940"/>
        <c:crosses val="autoZero"/>
        <c:auto val="1"/>
        <c:lblAlgn val="ctr"/>
        <c:lblOffset val="100"/>
        <c:noMultiLvlLbl val="0"/>
      </c:catAx>
      <c:valAx>
        <c:axId val="30327940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Horas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410874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Pareto de causas de devolución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'AS IS'!$B$53</c:f>
              <c:strCache>
                <c:ptCount val="1"/>
                <c:pt idx="0">
                  <c:v>Devoluciones/mes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 IS'!$A$54:$A$58</c:f>
              <c:strCache>
                <c:ptCount val="5"/>
                <c:pt idx="0">
                  <c:v>Documentos de ingresos incompletos o ilegibles</c:v>
                </c:pt>
                <c:pt idx="1">
                  <c:v>Datos digitados que no coinciden con los documentos</c:v>
                </c:pt>
                <c:pt idx="2">
                  <c:v>Falta la autorización de consulta al buró</c:v>
                </c:pt>
                <c:pt idx="3">
                  <c:v>Dirección o referencias sin verificar</c:v>
                </c:pt>
                <c:pt idx="4">
                  <c:v>Otras</c:v>
                </c:pt>
              </c:strCache>
            </c:strRef>
          </c:cat>
          <c:val>
            <c:numRef>
              <c:f>'AS IS'!$B$54:$B$58</c:f>
              <c:numCache>
                <c:formatCode>#,##0</c:formatCode>
                <c:ptCount val="5"/>
                <c:pt idx="0">
                  <c:v>144</c:v>
                </c:pt>
                <c:pt idx="1">
                  <c:v>108</c:v>
                </c:pt>
                <c:pt idx="2">
                  <c:v>54</c:v>
                </c:pt>
                <c:pt idx="3">
                  <c:v>36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C-4370-9D86-F7A67D2B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50204"/>
        <c:axId val="82983595"/>
      </c:barChart>
      <c:lineChart>
        <c:grouping val="standard"/>
        <c:varyColors val="0"/>
        <c:ser>
          <c:idx val="1"/>
          <c:order val="1"/>
          <c:tx>
            <c:strRef>
              <c:f>'AS IS'!$D$53</c:f>
              <c:strCache>
                <c:ptCount val="1"/>
                <c:pt idx="0">
                  <c:v>% acumulado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'AS IS'!$A$54:$A$58</c:f>
              <c:strCache>
                <c:ptCount val="5"/>
                <c:pt idx="0">
                  <c:v>Documentos de ingresos incompletos o ilegibles</c:v>
                </c:pt>
                <c:pt idx="1">
                  <c:v>Datos digitados que no coinciden con los documentos</c:v>
                </c:pt>
                <c:pt idx="2">
                  <c:v>Falta la autorización de consulta al buró</c:v>
                </c:pt>
                <c:pt idx="3">
                  <c:v>Dirección o referencias sin verificar</c:v>
                </c:pt>
                <c:pt idx="4">
                  <c:v>Otras</c:v>
                </c:pt>
              </c:strCache>
            </c:strRef>
          </c:cat>
          <c:val>
            <c:numRef>
              <c:f>'AS IS'!$D$54:$D$58</c:f>
              <c:numCache>
                <c:formatCode>0.0%</c:formatCode>
                <c:ptCount val="5"/>
                <c:pt idx="0">
                  <c:v>0.4</c:v>
                </c:pt>
                <c:pt idx="1">
                  <c:v>0.7</c:v>
                </c:pt>
                <c:pt idx="2">
                  <c:v>0.85</c:v>
                </c:pt>
                <c:pt idx="3">
                  <c:v>0.95</c:v>
                </c:pt>
                <c:pt idx="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7EC-4370-9D86-F7A67D2B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2918227"/>
        <c:axId val="20046993"/>
      </c:lineChart>
      <c:catAx>
        <c:axId val="333502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82983595"/>
        <c:crosses val="autoZero"/>
        <c:auto val="1"/>
        <c:lblAlgn val="ctr"/>
        <c:lblOffset val="100"/>
        <c:noMultiLvlLbl val="0"/>
      </c:catAx>
      <c:valAx>
        <c:axId val="829835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C" sz="1000" b="1" strike="noStrike" spc="-1">
                    <a:solidFill>
                      <a:srgbClr val="000000"/>
                    </a:solidFill>
                    <a:latin typeface="Calibri"/>
                  </a:rPr>
                  <a:t>Devoluciones/mes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33350204"/>
        <c:crosses val="autoZero"/>
        <c:crossBetween val="between"/>
      </c:valAx>
      <c:catAx>
        <c:axId val="62918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0046993"/>
        <c:crosses val="autoZero"/>
        <c:auto val="1"/>
        <c:lblAlgn val="ctr"/>
        <c:lblOffset val="100"/>
        <c:noMultiLvlLbl val="0"/>
      </c:catAx>
      <c:valAx>
        <c:axId val="20046993"/>
        <c:scaling>
          <c:orientation val="minMax"/>
          <c:max val="1"/>
          <c:min val="0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291822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Tiempo por etapa (horas)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 BE'!$B$104</c:f>
              <c:strCache>
                <c:ptCount val="1"/>
                <c:pt idx="0">
                  <c:v>AS IS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 BE'!$A$105:$A$111</c:f>
              <c:strCache>
                <c:ptCount val="7"/>
                <c:pt idx="0">
                  <c:v>1. Recepción / captura</c:v>
                </c:pt>
                <c:pt idx="1">
                  <c:v>2. Verificación / validación</c:v>
                </c:pt>
                <c:pt idx="2">
                  <c:v>3. Análisis / revisión</c:v>
                </c:pt>
                <c:pt idx="3">
                  <c:v>Reproceso</c:v>
                </c:pt>
                <c:pt idx="4">
                  <c:v>4. Aprobación</c:v>
                </c:pt>
                <c:pt idx="5">
                  <c:v>5. Instrumentación</c:v>
                </c:pt>
                <c:pt idx="6">
                  <c:v>6. Desembolso</c:v>
                </c:pt>
              </c:strCache>
            </c:strRef>
          </c:cat>
          <c:val>
            <c:numRef>
              <c:f>'TO BE'!$B$105:$B$111</c:f>
              <c:numCache>
                <c:formatCode>0.00</c:formatCode>
                <c:ptCount val="7"/>
                <c:pt idx="0">
                  <c:v>4.666666666666667</c:v>
                </c:pt>
                <c:pt idx="1">
                  <c:v>8.5</c:v>
                </c:pt>
                <c:pt idx="2">
                  <c:v>24.75</c:v>
                </c:pt>
                <c:pt idx="3">
                  <c:v>7.35</c:v>
                </c:pt>
                <c:pt idx="4">
                  <c:v>16.25</c:v>
                </c:pt>
                <c:pt idx="5">
                  <c:v>12.75</c:v>
                </c:pt>
                <c:pt idx="6">
                  <c:v>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6-420C-AE36-7846DD1AB752}"/>
            </c:ext>
          </c:extLst>
        </c:ser>
        <c:ser>
          <c:idx val="1"/>
          <c:order val="1"/>
          <c:tx>
            <c:strRef>
              <c:f>'TO BE'!$C$104</c:f>
              <c:strCache>
                <c:ptCount val="1"/>
                <c:pt idx="0">
                  <c:v>TO BE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 BE'!$A$105:$A$111</c:f>
              <c:strCache>
                <c:ptCount val="7"/>
                <c:pt idx="0">
                  <c:v>1. Recepción / captura</c:v>
                </c:pt>
                <c:pt idx="1">
                  <c:v>2. Verificación / validación</c:v>
                </c:pt>
                <c:pt idx="2">
                  <c:v>3. Análisis / revisión</c:v>
                </c:pt>
                <c:pt idx="3">
                  <c:v>Reproceso</c:v>
                </c:pt>
                <c:pt idx="4">
                  <c:v>4. Aprobación</c:v>
                </c:pt>
                <c:pt idx="5">
                  <c:v>5. Instrumentación</c:v>
                </c:pt>
                <c:pt idx="6">
                  <c:v>6. Desembolso</c:v>
                </c:pt>
              </c:strCache>
            </c:strRef>
          </c:cat>
          <c:val>
            <c:numRef>
              <c:f>'TO BE'!$C$105:$C$111</c:f>
              <c:numCache>
                <c:formatCode>0.00</c:formatCode>
                <c:ptCount val="7"/>
                <c:pt idx="0">
                  <c:v>4.416666666666667</c:v>
                </c:pt>
                <c:pt idx="1">
                  <c:v>0.58333333333333337</c:v>
                </c:pt>
                <c:pt idx="2">
                  <c:v>2.5</c:v>
                </c:pt>
                <c:pt idx="3">
                  <c:v>0.19882499999999997</c:v>
                </c:pt>
                <c:pt idx="4">
                  <c:v>4.166666666666667</c:v>
                </c:pt>
                <c:pt idx="5">
                  <c:v>2.3333333333333335</c:v>
                </c:pt>
                <c:pt idx="6">
                  <c:v>1.0833333333333333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6-420C-AE36-7846DD1AB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7606"/>
        <c:axId val="66141066"/>
      </c:barChart>
      <c:catAx>
        <c:axId val="218760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66141066"/>
        <c:crosses val="autoZero"/>
        <c:auto val="1"/>
        <c:lblAlgn val="ctr"/>
        <c:lblOffset val="100"/>
        <c:noMultiLvlLbl val="0"/>
      </c:catAx>
      <c:valAx>
        <c:axId val="66141066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1876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C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C" sz="1800" b="1" strike="noStrike" spc="-1">
                <a:solidFill>
                  <a:srgbClr val="000000"/>
                </a:solidFill>
                <a:latin typeface="Calibri"/>
              </a:rPr>
              <a:t>Días hábiles por tipo de solicitud (meta: 3)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 BE'!$K$46</c:f>
              <c:strCache>
                <c:ptCount val="1"/>
                <c:pt idx="0">
                  <c:v>Días hábiles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'TO BE'!$A$47:$B$54</c:f>
              <c:multiLvlStrCache>
                <c:ptCount val="8"/>
                <c:lvl>
                  <c:pt idx="0">
                    <c:v>Agencia</c:v>
                  </c:pt>
                  <c:pt idx="1">
                    <c:v>Digital</c:v>
                  </c:pt>
                  <c:pt idx="2">
                    <c:v>Agencia</c:v>
                  </c:pt>
                  <c:pt idx="3">
                    <c:v>Digital</c:v>
                  </c:pt>
                  <c:pt idx="4">
                    <c:v>Agencia</c:v>
                  </c:pt>
                  <c:pt idx="5">
                    <c:v>Digital</c:v>
                  </c:pt>
                  <c:pt idx="6">
                    <c:v>Agencia</c:v>
                  </c:pt>
                  <c:pt idx="7">
                    <c:v>Digital</c:v>
                  </c:pt>
                </c:lvl>
                <c:lvl>
                  <c:pt idx="0">
                    <c:v>N1 · Aprobación directa</c:v>
                  </c:pt>
                  <c:pt idx="1">
                    <c:v>N1 · Aprobación directa</c:v>
                  </c:pt>
                  <c:pt idx="2">
                    <c:v>N2 · Revisión parcial</c:v>
                  </c:pt>
                  <c:pt idx="3">
                    <c:v>N2 · Revisión parcial</c:v>
                  </c:pt>
                  <c:pt idx="4">
                    <c:v>N3 · Revisión completa</c:v>
                  </c:pt>
                  <c:pt idx="5">
                    <c:v>N3 · Revisión completa</c:v>
                  </c:pt>
                  <c:pt idx="6">
                    <c:v>N4 · Comité</c:v>
                  </c:pt>
                  <c:pt idx="7">
                    <c:v>N4 · Comité</c:v>
                  </c:pt>
                </c:lvl>
              </c:multiLvlStrCache>
            </c:multiLvlStrRef>
          </c:cat>
          <c:val>
            <c:numRef>
              <c:f>'TO BE'!$K$47:$K$54</c:f>
              <c:numCache>
                <c:formatCode>0.00</c:formatCode>
                <c:ptCount val="8"/>
                <c:pt idx="0">
                  <c:v>0.86458333333333326</c:v>
                </c:pt>
                <c:pt idx="1">
                  <c:v>0.48958333333333337</c:v>
                </c:pt>
                <c:pt idx="2">
                  <c:v>1.6290197916666667</c:v>
                </c:pt>
                <c:pt idx="3">
                  <c:v>1.3165197916666667</c:v>
                </c:pt>
                <c:pt idx="4">
                  <c:v>1.9102697916666669</c:v>
                </c:pt>
                <c:pt idx="5">
                  <c:v>1.5977697916666667</c:v>
                </c:pt>
                <c:pt idx="6">
                  <c:v>2.4415197916666664</c:v>
                </c:pt>
                <c:pt idx="7">
                  <c:v>2.1290197916666664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1-4F7E-AE3C-7FC8D90FD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425919"/>
        <c:axId val="78830710"/>
      </c:barChart>
      <c:catAx>
        <c:axId val="2742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78830710"/>
        <c:crosses val="autoZero"/>
        <c:auto val="1"/>
        <c:lblAlgn val="ctr"/>
        <c:lblOffset val="100"/>
        <c:noMultiLvlLbl val="0"/>
      </c:catAx>
      <c:valAx>
        <c:axId val="78830710"/>
        <c:scaling>
          <c:orientation val="minMax"/>
          <c:max val="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C"/>
          </a:p>
        </c:txPr>
        <c:crossAx val="274259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19</xdr:col>
      <xdr:colOff>255960</xdr:colOff>
      <xdr:row>14</xdr:row>
      <xdr:rowOff>64080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36</xdr:row>
      <xdr:rowOff>83880</xdr:rowOff>
    </xdr:from>
    <xdr:to>
      <xdr:col>19</xdr:col>
      <xdr:colOff>255960</xdr:colOff>
      <xdr:row>49</xdr:row>
      <xdr:rowOff>147960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838200</xdr:colOff>
      <xdr:row>102</xdr:row>
      <xdr:rowOff>61500</xdr:rowOff>
    </xdr:from>
    <xdr:to>
      <xdr:col>8</xdr:col>
      <xdr:colOff>67620</xdr:colOff>
      <xdr:row>117</xdr:row>
      <xdr:rowOff>97140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34</xdr:row>
      <xdr:rowOff>208080</xdr:rowOff>
    </xdr:from>
    <xdr:to>
      <xdr:col>23</xdr:col>
      <xdr:colOff>364680</xdr:colOff>
      <xdr:row>47</xdr:row>
      <xdr:rowOff>102600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8"/>
  <sheetViews>
    <sheetView showGridLines="0" topLeftCell="A57" zoomScaleNormal="100" workbookViewId="0">
      <selection activeCell="A62" sqref="A62:A66"/>
    </sheetView>
  </sheetViews>
  <sheetFormatPr baseColWidth="10" defaultColWidth="8.6640625" defaultRowHeight="14.4" x14ac:dyDescent="0.3"/>
  <cols>
    <col min="1" max="1" width="34" customWidth="1"/>
    <col min="2" max="2" width="44" customWidth="1"/>
    <col min="3" max="6" width="13" customWidth="1"/>
    <col min="7" max="7" width="11" customWidth="1"/>
    <col min="8" max="8" width="13" customWidth="1"/>
    <col min="9" max="9" width="11" customWidth="1"/>
  </cols>
  <sheetData>
    <row r="1" spans="1:9" x14ac:dyDescent="0.3">
      <c r="A1" s="1" t="s">
        <v>0</v>
      </c>
    </row>
    <row r="2" spans="1:9" ht="28.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4">
        <v>40</v>
      </c>
      <c r="D3" s="5">
        <f t="shared" ref="D3:D9" si="0">C3/60</f>
        <v>0.66666666666666663</v>
      </c>
      <c r="E3" s="6">
        <v>4</v>
      </c>
      <c r="F3" s="5">
        <f t="shared" ref="F3:F9" si="1">D3+E3</f>
        <v>4.666666666666667</v>
      </c>
      <c r="G3" s="7">
        <v>1</v>
      </c>
      <c r="H3" s="5">
        <f t="shared" ref="H3:H9" si="2">F3*G3</f>
        <v>4.666666666666667</v>
      </c>
      <c r="I3" s="7">
        <f t="shared" ref="I3:I9" si="3">H3/$H$10</f>
        <v>5.9435364041604759E-2</v>
      </c>
    </row>
    <row r="4" spans="1:9" x14ac:dyDescent="0.3">
      <c r="A4" s="3" t="s">
        <v>12</v>
      </c>
      <c r="B4" s="3" t="s">
        <v>13</v>
      </c>
      <c r="C4" s="4">
        <v>30</v>
      </c>
      <c r="D4" s="5">
        <f t="shared" si="0"/>
        <v>0.5</v>
      </c>
      <c r="E4" s="6">
        <v>8</v>
      </c>
      <c r="F4" s="5">
        <f t="shared" si="1"/>
        <v>8.5</v>
      </c>
      <c r="G4" s="7">
        <v>1</v>
      </c>
      <c r="H4" s="5">
        <f t="shared" si="2"/>
        <v>8.5</v>
      </c>
      <c r="I4" s="7">
        <f t="shared" si="3"/>
        <v>0.10825727021863724</v>
      </c>
    </row>
    <row r="5" spans="1:9" x14ac:dyDescent="0.3">
      <c r="A5" s="3" t="s">
        <v>14</v>
      </c>
      <c r="B5" s="3" t="s">
        <v>15</v>
      </c>
      <c r="C5" s="4">
        <v>45</v>
      </c>
      <c r="D5" s="5">
        <f t="shared" si="0"/>
        <v>0.75</v>
      </c>
      <c r="E5" s="6">
        <v>24</v>
      </c>
      <c r="F5" s="5">
        <f t="shared" si="1"/>
        <v>24.75</v>
      </c>
      <c r="G5" s="7">
        <v>1</v>
      </c>
      <c r="H5" s="5">
        <f t="shared" si="2"/>
        <v>24.75</v>
      </c>
      <c r="I5" s="7">
        <f t="shared" si="3"/>
        <v>0.31521969857779664</v>
      </c>
    </row>
    <row r="6" spans="1:9" x14ac:dyDescent="0.3">
      <c r="A6" s="3" t="s">
        <v>16</v>
      </c>
      <c r="B6" s="3" t="s">
        <v>17</v>
      </c>
      <c r="C6" s="4">
        <v>15</v>
      </c>
      <c r="D6" s="5">
        <f t="shared" si="0"/>
        <v>0.25</v>
      </c>
      <c r="E6" s="6">
        <v>16</v>
      </c>
      <c r="F6" s="5">
        <f t="shared" si="1"/>
        <v>16.25</v>
      </c>
      <c r="G6" s="7">
        <v>1</v>
      </c>
      <c r="H6" s="5">
        <f t="shared" si="2"/>
        <v>16.25</v>
      </c>
      <c r="I6" s="7">
        <f t="shared" si="3"/>
        <v>0.20696242835915943</v>
      </c>
    </row>
    <row r="7" spans="1:9" x14ac:dyDescent="0.3">
      <c r="A7" s="3" t="s">
        <v>18</v>
      </c>
      <c r="B7" s="3" t="s">
        <v>19</v>
      </c>
      <c r="C7" s="4">
        <v>45</v>
      </c>
      <c r="D7" s="5">
        <f t="shared" si="0"/>
        <v>0.75</v>
      </c>
      <c r="E7" s="6">
        <v>12</v>
      </c>
      <c r="F7" s="5">
        <f t="shared" si="1"/>
        <v>12.75</v>
      </c>
      <c r="G7" s="7">
        <v>1</v>
      </c>
      <c r="H7" s="5">
        <f t="shared" si="2"/>
        <v>12.75</v>
      </c>
      <c r="I7" s="7">
        <f t="shared" si="3"/>
        <v>0.16238590532795585</v>
      </c>
    </row>
    <row r="8" spans="1:9" x14ac:dyDescent="0.3">
      <c r="A8" s="3" t="s">
        <v>20</v>
      </c>
      <c r="B8" s="3" t="s">
        <v>21</v>
      </c>
      <c r="C8" s="4">
        <v>15</v>
      </c>
      <c r="D8" s="5">
        <f t="shared" si="0"/>
        <v>0.25</v>
      </c>
      <c r="E8" s="6">
        <v>4</v>
      </c>
      <c r="F8" s="5">
        <f t="shared" si="1"/>
        <v>4.25</v>
      </c>
      <c r="G8" s="7">
        <v>1</v>
      </c>
      <c r="H8" s="5">
        <f t="shared" si="2"/>
        <v>4.25</v>
      </c>
      <c r="I8" s="7">
        <f t="shared" si="3"/>
        <v>5.4128635109318618E-2</v>
      </c>
    </row>
    <row r="9" spans="1:9" ht="28.8" x14ac:dyDescent="0.3">
      <c r="A9" s="3" t="s">
        <v>22</v>
      </c>
      <c r="B9" s="3" t="s">
        <v>23</v>
      </c>
      <c r="C9" s="4">
        <v>30</v>
      </c>
      <c r="D9" s="5">
        <f t="shared" si="0"/>
        <v>0.5</v>
      </c>
      <c r="E9" s="6">
        <f>E5</f>
        <v>24</v>
      </c>
      <c r="F9" s="5">
        <f t="shared" si="1"/>
        <v>24.5</v>
      </c>
      <c r="G9" s="7">
        <f>C30</f>
        <v>0.3</v>
      </c>
      <c r="H9" s="5">
        <f t="shared" si="2"/>
        <v>7.35</v>
      </c>
      <c r="I9" s="7">
        <f t="shared" si="3"/>
        <v>9.3610698365527489E-2</v>
      </c>
    </row>
    <row r="10" spans="1:9" x14ac:dyDescent="0.3">
      <c r="A10" s="8" t="s">
        <v>24</v>
      </c>
      <c r="B10" s="8"/>
      <c r="C10" s="9"/>
      <c r="D10" s="10"/>
      <c r="E10" s="11"/>
      <c r="F10" s="10"/>
      <c r="G10" s="12"/>
      <c r="H10" s="10">
        <f>SUM(H3:H9)</f>
        <v>78.516666666666666</v>
      </c>
      <c r="I10" s="12">
        <f>SUM(I3:I9)</f>
        <v>1</v>
      </c>
    </row>
    <row r="12" spans="1:9" x14ac:dyDescent="0.3">
      <c r="A12" s="13" t="s">
        <v>25</v>
      </c>
      <c r="H12" s="14">
        <f>H10/8</f>
        <v>9.8145833333333332</v>
      </c>
    </row>
    <row r="13" spans="1:9" x14ac:dyDescent="0.3">
      <c r="A13" s="13" t="s">
        <v>26</v>
      </c>
      <c r="H13" s="15">
        <f>SUMPRODUCT(D3:D9,G3:G9)/H10</f>
        <v>4.2241562300997661E-2</v>
      </c>
    </row>
    <row r="14" spans="1:9" x14ac:dyDescent="0.3">
      <c r="A14" s="13" t="s">
        <v>27</v>
      </c>
      <c r="H14" s="16">
        <v>3</v>
      </c>
    </row>
    <row r="15" spans="1:9" x14ac:dyDescent="0.3">
      <c r="A15" s="13" t="s">
        <v>28</v>
      </c>
      <c r="H15" s="15">
        <f>1-H14/H12</f>
        <v>0.69433241350031838</v>
      </c>
    </row>
    <row r="17" spans="1:4" x14ac:dyDescent="0.3">
      <c r="A17" s="1" t="s">
        <v>29</v>
      </c>
    </row>
    <row r="18" spans="1:4" ht="28.8" x14ac:dyDescent="0.3">
      <c r="A18" s="2" t="s">
        <v>30</v>
      </c>
      <c r="B18" s="2" t="s">
        <v>31</v>
      </c>
      <c r="C18" s="2" t="s">
        <v>32</v>
      </c>
      <c r="D18" s="2" t="s">
        <v>33</v>
      </c>
    </row>
    <row r="19" spans="1:4" x14ac:dyDescent="0.3">
      <c r="A19" s="3" t="s">
        <v>34</v>
      </c>
      <c r="B19" s="3"/>
      <c r="C19" s="4">
        <v>1500</v>
      </c>
      <c r="D19" s="7">
        <f>C19/$C$19</f>
        <v>1</v>
      </c>
    </row>
    <row r="20" spans="1:4" ht="28.8" x14ac:dyDescent="0.3">
      <c r="A20" s="3" t="s">
        <v>35</v>
      </c>
      <c r="B20" s="3" t="s">
        <v>36</v>
      </c>
      <c r="C20" s="4">
        <v>1200</v>
      </c>
      <c r="D20" s="7">
        <f>C20/$C$19</f>
        <v>0.8</v>
      </c>
    </row>
    <row r="21" spans="1:4" x14ac:dyDescent="0.3">
      <c r="A21" s="3" t="s">
        <v>37</v>
      </c>
      <c r="B21" s="3" t="s">
        <v>38</v>
      </c>
      <c r="C21" s="4">
        <v>840</v>
      </c>
      <c r="D21" s="7">
        <f>C21/$C$19</f>
        <v>0.56000000000000005</v>
      </c>
    </row>
    <row r="22" spans="1:4" x14ac:dyDescent="0.3">
      <c r="A22" s="3" t="s">
        <v>39</v>
      </c>
      <c r="B22" s="3" t="s">
        <v>40</v>
      </c>
      <c r="C22" s="4">
        <v>720</v>
      </c>
      <c r="D22" s="7">
        <f>C22/$C$19</f>
        <v>0.48</v>
      </c>
    </row>
    <row r="24" spans="1:4" x14ac:dyDescent="0.3">
      <c r="A24" t="s">
        <v>41</v>
      </c>
      <c r="D24" s="15">
        <f>C21/C20</f>
        <v>0.7</v>
      </c>
    </row>
    <row r="25" spans="1:4" x14ac:dyDescent="0.3">
      <c r="A25" t="s">
        <v>42</v>
      </c>
      <c r="D25" s="17">
        <f>C20*C30</f>
        <v>360</v>
      </c>
    </row>
    <row r="26" spans="1:4" x14ac:dyDescent="0.3">
      <c r="A26" t="s">
        <v>43</v>
      </c>
      <c r="D26" s="17">
        <f>C20+D25</f>
        <v>1560</v>
      </c>
    </row>
    <row r="28" spans="1:4" x14ac:dyDescent="0.3">
      <c r="A28" s="1" t="s">
        <v>44</v>
      </c>
    </row>
    <row r="29" spans="1:4" x14ac:dyDescent="0.3">
      <c r="A29" s="2" t="s">
        <v>30</v>
      </c>
      <c r="B29" s="2" t="s">
        <v>45</v>
      </c>
      <c r="C29" s="2" t="s">
        <v>46</v>
      </c>
      <c r="D29" s="2" t="s">
        <v>47</v>
      </c>
    </row>
    <row r="30" spans="1:4" x14ac:dyDescent="0.3">
      <c r="A30" s="3" t="s">
        <v>48</v>
      </c>
      <c r="B30" s="3" t="s">
        <v>49</v>
      </c>
      <c r="C30" s="7">
        <v>0.3</v>
      </c>
      <c r="D30" s="3"/>
    </row>
    <row r="31" spans="1:4" x14ac:dyDescent="0.3">
      <c r="A31" s="3" t="s">
        <v>50</v>
      </c>
      <c r="B31" s="3" t="s">
        <v>49</v>
      </c>
      <c r="C31" s="4">
        <v>8</v>
      </c>
      <c r="D31" s="3" t="s">
        <v>51</v>
      </c>
    </row>
    <row r="32" spans="1:4" x14ac:dyDescent="0.3">
      <c r="A32" s="3" t="s">
        <v>52</v>
      </c>
      <c r="B32" s="3" t="s">
        <v>49</v>
      </c>
      <c r="C32" s="4">
        <v>140</v>
      </c>
      <c r="D32" s="3" t="s">
        <v>53</v>
      </c>
    </row>
    <row r="33" spans="1:4" x14ac:dyDescent="0.3">
      <c r="A33" s="3" t="s">
        <v>54</v>
      </c>
      <c r="B33" s="3" t="s">
        <v>55</v>
      </c>
      <c r="C33" s="4">
        <f>C31*C32</f>
        <v>1120</v>
      </c>
      <c r="D33" s="3" t="s">
        <v>53</v>
      </c>
    </row>
    <row r="34" spans="1:4" x14ac:dyDescent="0.3">
      <c r="A34" s="3" t="s">
        <v>56</v>
      </c>
      <c r="B34" s="3" t="s">
        <v>57</v>
      </c>
      <c r="C34" s="4">
        <f>C20*C5/60</f>
        <v>900</v>
      </c>
      <c r="D34" s="3" t="s">
        <v>53</v>
      </c>
    </row>
    <row r="35" spans="1:4" x14ac:dyDescent="0.3">
      <c r="A35" s="3" t="s">
        <v>58</v>
      </c>
      <c r="B35" s="3" t="s">
        <v>59</v>
      </c>
      <c r="C35" s="4">
        <f>D25*30/60</f>
        <v>180</v>
      </c>
      <c r="D35" s="3" t="s">
        <v>53</v>
      </c>
    </row>
    <row r="36" spans="1:4" x14ac:dyDescent="0.3">
      <c r="A36" s="3" t="s">
        <v>60</v>
      </c>
      <c r="B36" s="3"/>
      <c r="C36" s="4">
        <f>C34+C35</f>
        <v>1080</v>
      </c>
      <c r="D36" s="3" t="s">
        <v>53</v>
      </c>
    </row>
    <row r="37" spans="1:4" x14ac:dyDescent="0.3">
      <c r="A37" s="3" t="s">
        <v>61</v>
      </c>
      <c r="B37" s="3" t="s">
        <v>62</v>
      </c>
      <c r="C37" s="7">
        <f>C36/C33</f>
        <v>0.9642857142857143</v>
      </c>
      <c r="D37" s="3"/>
    </row>
    <row r="38" spans="1:4" ht="28.8" x14ac:dyDescent="0.3">
      <c r="A38" s="3" t="s">
        <v>63</v>
      </c>
      <c r="B38" s="3" t="s">
        <v>64</v>
      </c>
      <c r="C38" s="6">
        <f>C36/(C32*0.85)</f>
        <v>9.0756302521008401</v>
      </c>
      <c r="D38" s="3" t="s">
        <v>51</v>
      </c>
    </row>
    <row r="39" spans="1:4" x14ac:dyDescent="0.3">
      <c r="A39" s="3" t="s">
        <v>65</v>
      </c>
      <c r="B39" s="3" t="s">
        <v>66</v>
      </c>
      <c r="C39" s="7">
        <f>C35/C36</f>
        <v>0.16666666666666666</v>
      </c>
      <c r="D39" s="3"/>
    </row>
    <row r="41" spans="1:4" x14ac:dyDescent="0.3">
      <c r="A41" s="1" t="s">
        <v>67</v>
      </c>
    </row>
    <row r="42" spans="1:4" ht="28.8" x14ac:dyDescent="0.3">
      <c r="A42" s="2" t="s">
        <v>1</v>
      </c>
      <c r="B42" s="2" t="s">
        <v>68</v>
      </c>
      <c r="C42" s="2" t="s">
        <v>69</v>
      </c>
      <c r="D42" s="2" t="s">
        <v>70</v>
      </c>
    </row>
    <row r="43" spans="1:4" x14ac:dyDescent="0.3">
      <c r="A43" s="3" t="str">
        <f t="shared" ref="A43:A48" si="4">A3</f>
        <v>1. Recepción y digitación</v>
      </c>
      <c r="B43" s="4">
        <f>C19</f>
        <v>1500</v>
      </c>
      <c r="C43" s="4">
        <f t="shared" ref="C43:C48" si="5">C3</f>
        <v>40</v>
      </c>
      <c r="D43" s="4">
        <f t="shared" ref="D43:D49" si="6">B43*C43/60</f>
        <v>1000</v>
      </c>
    </row>
    <row r="44" spans="1:4" x14ac:dyDescent="0.3">
      <c r="A44" s="3" t="str">
        <f t="shared" si="4"/>
        <v>2. Verificación</v>
      </c>
      <c r="B44" s="4">
        <f>C19</f>
        <v>1500</v>
      </c>
      <c r="C44" s="4">
        <f t="shared" si="5"/>
        <v>30</v>
      </c>
      <c r="D44" s="4">
        <f t="shared" si="6"/>
        <v>750</v>
      </c>
    </row>
    <row r="45" spans="1:4" x14ac:dyDescent="0.3">
      <c r="A45" s="3" t="str">
        <f t="shared" si="4"/>
        <v>3. Análisis de riesgo</v>
      </c>
      <c r="B45" s="4">
        <f>C20</f>
        <v>1200</v>
      </c>
      <c r="C45" s="4">
        <f t="shared" si="5"/>
        <v>45</v>
      </c>
      <c r="D45" s="4">
        <f t="shared" si="6"/>
        <v>900</v>
      </c>
    </row>
    <row r="46" spans="1:4" x14ac:dyDescent="0.3">
      <c r="A46" s="3" t="str">
        <f t="shared" si="4"/>
        <v>4. Aprobación</v>
      </c>
      <c r="B46" s="4">
        <f>C20</f>
        <v>1200</v>
      </c>
      <c r="C46" s="4">
        <f t="shared" si="5"/>
        <v>15</v>
      </c>
      <c r="D46" s="4">
        <f t="shared" si="6"/>
        <v>300</v>
      </c>
    </row>
    <row r="47" spans="1:4" x14ac:dyDescent="0.3">
      <c r="A47" s="3" t="str">
        <f t="shared" si="4"/>
        <v>5. Instrumentación</v>
      </c>
      <c r="B47" s="4">
        <f>C21</f>
        <v>840</v>
      </c>
      <c r="C47" s="4">
        <f t="shared" si="5"/>
        <v>45</v>
      </c>
      <c r="D47" s="4">
        <f t="shared" si="6"/>
        <v>630</v>
      </c>
    </row>
    <row r="48" spans="1:4" x14ac:dyDescent="0.3">
      <c r="A48" s="3" t="str">
        <f t="shared" si="4"/>
        <v>6. Desembolso</v>
      </c>
      <c r="B48" s="4">
        <f>C22</f>
        <v>720</v>
      </c>
      <c r="C48" s="4">
        <f t="shared" si="5"/>
        <v>15</v>
      </c>
      <c r="D48" s="4">
        <f t="shared" si="6"/>
        <v>180</v>
      </c>
    </row>
    <row r="49" spans="1:4" x14ac:dyDescent="0.3">
      <c r="A49" s="3" t="s">
        <v>71</v>
      </c>
      <c r="B49" s="4">
        <f>D25</f>
        <v>360</v>
      </c>
      <c r="C49" s="4">
        <v>30</v>
      </c>
      <c r="D49" s="4">
        <f t="shared" si="6"/>
        <v>180</v>
      </c>
    </row>
    <row r="50" spans="1:4" x14ac:dyDescent="0.3">
      <c r="A50" s="8" t="s">
        <v>24</v>
      </c>
      <c r="B50" s="9"/>
      <c r="C50" s="9"/>
      <c r="D50" s="9">
        <f>SUM(D43:D49)</f>
        <v>3940</v>
      </c>
    </row>
    <row r="52" spans="1:4" x14ac:dyDescent="0.3">
      <c r="A52" s="1" t="s">
        <v>72</v>
      </c>
    </row>
    <row r="53" spans="1:4" x14ac:dyDescent="0.3">
      <c r="A53" s="2" t="s">
        <v>73</v>
      </c>
      <c r="B53" s="2" t="s">
        <v>74</v>
      </c>
      <c r="C53" s="2" t="s">
        <v>75</v>
      </c>
      <c r="D53" s="2" t="s">
        <v>76</v>
      </c>
    </row>
    <row r="54" spans="1:4" ht="28.8" x14ac:dyDescent="0.3">
      <c r="A54" s="3" t="s">
        <v>77</v>
      </c>
      <c r="B54" s="4">
        <v>144</v>
      </c>
      <c r="C54" s="7">
        <f>B54/$B$59</f>
        <v>0.4</v>
      </c>
      <c r="D54" s="7">
        <f>SUM($B$54:B54)/$B$59</f>
        <v>0.4</v>
      </c>
    </row>
    <row r="55" spans="1:4" ht="28.8" x14ac:dyDescent="0.3">
      <c r="A55" s="3" t="s">
        <v>78</v>
      </c>
      <c r="B55" s="4">
        <v>108</v>
      </c>
      <c r="C55" s="7">
        <f>B55/$B$59</f>
        <v>0.3</v>
      </c>
      <c r="D55" s="7">
        <f>SUM($B$54:B55)/$B$59</f>
        <v>0.7</v>
      </c>
    </row>
    <row r="56" spans="1:4" x14ac:dyDescent="0.3">
      <c r="A56" s="3" t="s">
        <v>79</v>
      </c>
      <c r="B56" s="4">
        <v>54</v>
      </c>
      <c r="C56" s="7">
        <f>B56/$B$59</f>
        <v>0.15</v>
      </c>
      <c r="D56" s="7">
        <f>SUM($B$54:B56)/$B$59</f>
        <v>0.85</v>
      </c>
    </row>
    <row r="57" spans="1:4" x14ac:dyDescent="0.3">
      <c r="A57" s="3" t="s">
        <v>80</v>
      </c>
      <c r="B57" s="4">
        <v>36</v>
      </c>
      <c r="C57" s="7">
        <f>B57/$B$59</f>
        <v>0.1</v>
      </c>
      <c r="D57" s="7">
        <f>SUM($B$54:B57)/$B$59</f>
        <v>0.95</v>
      </c>
    </row>
    <row r="58" spans="1:4" x14ac:dyDescent="0.3">
      <c r="A58" s="3" t="s">
        <v>81</v>
      </c>
      <c r="B58" s="4">
        <v>18</v>
      </c>
      <c r="C58" s="7">
        <f>B58/$B$59</f>
        <v>0.05</v>
      </c>
      <c r="D58" s="7">
        <f>SUM($B$54:B58)/$B$59</f>
        <v>1</v>
      </c>
    </row>
    <row r="59" spans="1:4" x14ac:dyDescent="0.3">
      <c r="A59" s="8" t="s">
        <v>24</v>
      </c>
      <c r="B59" s="9">
        <f>SUM(B54:B58)</f>
        <v>360</v>
      </c>
      <c r="C59" s="12">
        <f>SUM(C54:C58)</f>
        <v>1</v>
      </c>
      <c r="D59" s="12"/>
    </row>
    <row r="61" spans="1:4" x14ac:dyDescent="0.3">
      <c r="A61" s="1" t="s">
        <v>82</v>
      </c>
    </row>
    <row r="62" spans="1:4" x14ac:dyDescent="0.3">
      <c r="A62" s="13" t="s">
        <v>83</v>
      </c>
    </row>
    <row r="63" spans="1:4" x14ac:dyDescent="0.3">
      <c r="A63" s="13" t="s">
        <v>84</v>
      </c>
    </row>
    <row r="64" spans="1:4" x14ac:dyDescent="0.3">
      <c r="A64" s="13" t="s">
        <v>85</v>
      </c>
    </row>
    <row r="65" spans="1:4" x14ac:dyDescent="0.3">
      <c r="A65" s="13" t="s">
        <v>86</v>
      </c>
    </row>
    <row r="66" spans="1:4" x14ac:dyDescent="0.3">
      <c r="A66" s="13" t="s">
        <v>87</v>
      </c>
    </row>
    <row r="67" spans="1:4" x14ac:dyDescent="0.3">
      <c r="A67" s="13"/>
    </row>
    <row r="69" spans="1:4" x14ac:dyDescent="0.3">
      <c r="A69" s="1" t="s">
        <v>88</v>
      </c>
    </row>
    <row r="70" spans="1:4" x14ac:dyDescent="0.3">
      <c r="A70" s="2" t="s">
        <v>30</v>
      </c>
      <c r="B70" s="2" t="s">
        <v>45</v>
      </c>
      <c r="C70" s="2" t="s">
        <v>46</v>
      </c>
      <c r="D70" s="2" t="s">
        <v>47</v>
      </c>
    </row>
    <row r="71" spans="1:4" x14ac:dyDescent="0.3">
      <c r="A71" s="3" t="s">
        <v>89</v>
      </c>
      <c r="B71" s="3" t="s">
        <v>90</v>
      </c>
      <c r="C71" s="4">
        <f>C31</f>
        <v>8</v>
      </c>
      <c r="D71" s="3" t="s">
        <v>51</v>
      </c>
    </row>
    <row r="72" spans="1:4" x14ac:dyDescent="0.3">
      <c r="A72" s="3" t="s">
        <v>61</v>
      </c>
      <c r="B72" s="3" t="s">
        <v>90</v>
      </c>
      <c r="C72" s="7">
        <f>C37</f>
        <v>0.9642857142857143</v>
      </c>
      <c r="D72" s="3"/>
    </row>
    <row r="73" spans="1:4" x14ac:dyDescent="0.3">
      <c r="A73" s="3" t="s">
        <v>91</v>
      </c>
      <c r="B73" s="3" t="s">
        <v>92</v>
      </c>
      <c r="C73" s="4">
        <f>D26</f>
        <v>1560</v>
      </c>
      <c r="D73" s="3" t="s">
        <v>93</v>
      </c>
    </row>
    <row r="74" spans="1:4" x14ac:dyDescent="0.3">
      <c r="A74" s="3" t="s">
        <v>94</v>
      </c>
      <c r="B74" s="3" t="s">
        <v>95</v>
      </c>
      <c r="C74" s="6">
        <f>C36*60/C73</f>
        <v>41.53846153846154</v>
      </c>
      <c r="D74" s="3" t="s">
        <v>273</v>
      </c>
    </row>
    <row r="75" spans="1:4" x14ac:dyDescent="0.3">
      <c r="A75" s="3" t="s">
        <v>96</v>
      </c>
      <c r="B75" s="3" t="s">
        <v>97</v>
      </c>
      <c r="C75" s="6">
        <f>Supuestos!B28</f>
        <v>1</v>
      </c>
      <c r="D75" s="3"/>
    </row>
    <row r="76" spans="1:4" ht="28.8" x14ac:dyDescent="0.3">
      <c r="A76" s="3" t="s">
        <v>98</v>
      </c>
      <c r="B76" s="3" t="s">
        <v>97</v>
      </c>
      <c r="C76" s="6">
        <f>Supuestos!B29</f>
        <v>1</v>
      </c>
      <c r="D76" s="3"/>
    </row>
    <row r="77" spans="1:4" x14ac:dyDescent="0.3">
      <c r="A77" s="3" t="s">
        <v>99</v>
      </c>
      <c r="B77" s="3" t="s">
        <v>100</v>
      </c>
      <c r="C77" s="5">
        <f>((C75+C76)/2)*C72^(SQRT(2*(C71+1))-1)/(C71*(1-C72))*C74/60</f>
        <v>2.1535356626318665</v>
      </c>
      <c r="D77" s="3" t="s">
        <v>101</v>
      </c>
    </row>
    <row r="78" spans="1:4" x14ac:dyDescent="0.3">
      <c r="A78" s="3" t="s">
        <v>102</v>
      </c>
      <c r="B78" s="3" t="s">
        <v>103</v>
      </c>
      <c r="C78" s="6">
        <f>E5</f>
        <v>24</v>
      </c>
      <c r="D78" s="3" t="s">
        <v>101</v>
      </c>
    </row>
    <row r="79" spans="1:4" ht="28.8" x14ac:dyDescent="0.3">
      <c r="A79" s="3" t="s">
        <v>104</v>
      </c>
      <c r="B79" s="3" t="s">
        <v>105</v>
      </c>
      <c r="C79" s="7">
        <f>C77/C78</f>
        <v>8.9730652609661107E-2</v>
      </c>
      <c r="D79" s="3"/>
    </row>
    <row r="80" spans="1:4" x14ac:dyDescent="0.3">
      <c r="A80" s="3" t="s">
        <v>106</v>
      </c>
      <c r="B80" s="3" t="s">
        <v>107</v>
      </c>
      <c r="C80" s="7">
        <f>1-C79</f>
        <v>0.91026934739033893</v>
      </c>
      <c r="D80" s="3"/>
    </row>
    <row r="82" spans="1:3" x14ac:dyDescent="0.3">
      <c r="A82" s="1"/>
    </row>
    <row r="83" spans="1:3" x14ac:dyDescent="0.3">
      <c r="A83" s="2"/>
      <c r="B83" s="2"/>
      <c r="C83" s="2"/>
    </row>
    <row r="84" spans="1:3" x14ac:dyDescent="0.3">
      <c r="A84" s="7"/>
      <c r="B84" s="7"/>
      <c r="C84" s="5"/>
    </row>
    <row r="85" spans="1:3" x14ac:dyDescent="0.3">
      <c r="A85" s="7"/>
      <c r="B85" s="7"/>
      <c r="C85" s="5"/>
    </row>
    <row r="86" spans="1:3" x14ac:dyDescent="0.3">
      <c r="A86" s="7"/>
      <c r="B86" s="7"/>
      <c r="C86" s="5"/>
    </row>
    <row r="87" spans="1:3" x14ac:dyDescent="0.3">
      <c r="A87" s="7"/>
      <c r="B87" s="7"/>
      <c r="C87" s="5"/>
    </row>
    <row r="88" spans="1:3" x14ac:dyDescent="0.3">
      <c r="A88" s="7"/>
      <c r="B88" s="7"/>
      <c r="C88" s="5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2"/>
  <sheetViews>
    <sheetView showGridLines="0" topLeftCell="A104" zoomScaleNormal="100" workbookViewId="0">
      <selection activeCell="C122" sqref="A114:C122"/>
    </sheetView>
  </sheetViews>
  <sheetFormatPr baseColWidth="10" defaultColWidth="8.6640625" defaultRowHeight="14.4" x14ac:dyDescent="0.3"/>
  <cols>
    <col min="1" max="1" width="36" customWidth="1"/>
    <col min="2" max="2" width="40" customWidth="1"/>
    <col min="3" max="4" width="13" customWidth="1"/>
    <col min="5" max="5" width="40" customWidth="1"/>
    <col min="6" max="7" width="13" customWidth="1"/>
    <col min="8" max="8" width="14" customWidth="1"/>
    <col min="9" max="9" width="13" customWidth="1"/>
    <col min="10" max="11" width="11" customWidth="1"/>
    <col min="12" max="12" width="12" customWidth="1"/>
  </cols>
  <sheetData>
    <row r="1" spans="1:5" x14ac:dyDescent="0.3">
      <c r="A1" s="1" t="s">
        <v>109</v>
      </c>
    </row>
    <row r="2" spans="1:5" x14ac:dyDescent="0.3">
      <c r="A2" s="2" t="s">
        <v>30</v>
      </c>
      <c r="B2" s="2" t="s">
        <v>110</v>
      </c>
      <c r="C2" s="2" t="s">
        <v>111</v>
      </c>
      <c r="D2" s="2" t="s">
        <v>32</v>
      </c>
      <c r="E2" s="2" t="s">
        <v>112</v>
      </c>
    </row>
    <row r="3" spans="1:5" x14ac:dyDescent="0.3">
      <c r="A3" s="3" t="s">
        <v>113</v>
      </c>
      <c r="B3" s="4"/>
      <c r="C3" s="7"/>
      <c r="D3" s="4">
        <f>'AS IS'!C19</f>
        <v>1500</v>
      </c>
      <c r="E3" s="3" t="s">
        <v>49</v>
      </c>
    </row>
    <row r="4" spans="1:5" x14ac:dyDescent="0.3">
      <c r="A4" s="3" t="s">
        <v>114</v>
      </c>
      <c r="B4" s="4">
        <f>D3</f>
        <v>1500</v>
      </c>
      <c r="C4" s="7">
        <f>Supuestos!B2</f>
        <v>0.25</v>
      </c>
      <c r="D4" s="4">
        <f t="shared" ref="D4:D11" si="0">B4*C4</f>
        <v>375</v>
      </c>
      <c r="E4" s="3" t="s">
        <v>115</v>
      </c>
    </row>
    <row r="5" spans="1:5" x14ac:dyDescent="0.3">
      <c r="A5" s="3" t="s">
        <v>116</v>
      </c>
      <c r="B5" s="4">
        <f>D3</f>
        <v>1500</v>
      </c>
      <c r="C5" s="7">
        <f>1-C4</f>
        <v>0.75</v>
      </c>
      <c r="D5" s="4">
        <f t="shared" si="0"/>
        <v>1125</v>
      </c>
      <c r="E5" s="3" t="s">
        <v>117</v>
      </c>
    </row>
    <row r="6" spans="1:5" x14ac:dyDescent="0.3">
      <c r="A6" s="3" t="s">
        <v>118</v>
      </c>
      <c r="B6" s="4">
        <f>D3</f>
        <v>1500</v>
      </c>
      <c r="C6" s="7">
        <f>1-'AS IS'!D20</f>
        <v>0.19999999999999996</v>
      </c>
      <c r="D6" s="4">
        <f t="shared" si="0"/>
        <v>299.99999999999994</v>
      </c>
      <c r="E6" s="3" t="s">
        <v>119</v>
      </c>
    </row>
    <row r="7" spans="1:5" x14ac:dyDescent="0.3">
      <c r="A7" s="3" t="s">
        <v>120</v>
      </c>
      <c r="B7" s="4">
        <f>D3</f>
        <v>1500</v>
      </c>
      <c r="C7" s="7">
        <f>1-C6</f>
        <v>0.8</v>
      </c>
      <c r="D7" s="4">
        <f t="shared" si="0"/>
        <v>1200</v>
      </c>
      <c r="E7" s="3" t="s">
        <v>119</v>
      </c>
    </row>
    <row r="8" spans="1:5" x14ac:dyDescent="0.3">
      <c r="A8" s="3" t="s">
        <v>37</v>
      </c>
      <c r="B8" s="4">
        <f>D7</f>
        <v>1200</v>
      </c>
      <c r="C8" s="7">
        <f>'AS IS'!D24</f>
        <v>0.7</v>
      </c>
      <c r="D8" s="4">
        <f t="shared" si="0"/>
        <v>840</v>
      </c>
      <c r="E8" s="3" t="s">
        <v>121</v>
      </c>
    </row>
    <row r="9" spans="1:5" x14ac:dyDescent="0.3">
      <c r="A9" s="3" t="s">
        <v>122</v>
      </c>
      <c r="B9" s="4">
        <f>D7</f>
        <v>1200</v>
      </c>
      <c r="C9" s="7">
        <f>1-C8</f>
        <v>0.30000000000000004</v>
      </c>
      <c r="D9" s="4">
        <f t="shared" si="0"/>
        <v>360.00000000000006</v>
      </c>
      <c r="E9" s="3" t="s">
        <v>123</v>
      </c>
    </row>
    <row r="10" spans="1:5" ht="28.8" x14ac:dyDescent="0.3">
      <c r="A10" s="3" t="s">
        <v>124</v>
      </c>
      <c r="B10" s="4">
        <f>D8</f>
        <v>840</v>
      </c>
      <c r="C10" s="7">
        <f>Supuestos!B3</f>
        <v>0.33333333333333331</v>
      </c>
      <c r="D10" s="4">
        <f t="shared" si="0"/>
        <v>280</v>
      </c>
      <c r="E10" s="3" t="s">
        <v>125</v>
      </c>
    </row>
    <row r="11" spans="1:5" x14ac:dyDescent="0.3">
      <c r="A11" s="3" t="s">
        <v>126</v>
      </c>
      <c r="B11" s="4">
        <f>D9</f>
        <v>360.00000000000006</v>
      </c>
      <c r="C11" s="7">
        <f>Supuestos!B4</f>
        <v>0.33333333333333331</v>
      </c>
      <c r="D11" s="4">
        <f t="shared" si="0"/>
        <v>120.00000000000001</v>
      </c>
      <c r="E11" s="3" t="s">
        <v>127</v>
      </c>
    </row>
    <row r="12" spans="1:5" x14ac:dyDescent="0.3">
      <c r="A12" s="3" t="s">
        <v>128</v>
      </c>
      <c r="B12" s="4">
        <f>D7</f>
        <v>1200</v>
      </c>
      <c r="C12" s="7">
        <f>D12/B12</f>
        <v>0.66666666666666663</v>
      </c>
      <c r="D12" s="4">
        <f>D7-D10-D11</f>
        <v>800</v>
      </c>
      <c r="E12" s="3" t="s">
        <v>129</v>
      </c>
    </row>
    <row r="13" spans="1:5" x14ac:dyDescent="0.3">
      <c r="A13" s="3" t="s">
        <v>130</v>
      </c>
      <c r="B13" s="4">
        <f>D12</f>
        <v>800</v>
      </c>
      <c r="C13" s="7">
        <f>Supuestos!B5</f>
        <v>0.4</v>
      </c>
      <c r="D13" s="4">
        <f>B13*C13</f>
        <v>320</v>
      </c>
      <c r="E13" s="3" t="s">
        <v>131</v>
      </c>
    </row>
    <row r="14" spans="1:5" x14ac:dyDescent="0.3">
      <c r="A14" s="3" t="s">
        <v>132</v>
      </c>
      <c r="B14" s="4">
        <f>D12</f>
        <v>800</v>
      </c>
      <c r="C14" s="7">
        <f>Supuestos!B6</f>
        <v>0.45</v>
      </c>
      <c r="D14" s="4">
        <f>B14*C14</f>
        <v>360</v>
      </c>
      <c r="E14" s="3" t="s">
        <v>131</v>
      </c>
    </row>
    <row r="15" spans="1:5" x14ac:dyDescent="0.3">
      <c r="A15" s="3" t="s">
        <v>133</v>
      </c>
      <c r="B15" s="4">
        <f>D12</f>
        <v>800</v>
      </c>
      <c r="C15" s="7">
        <f>Supuestos!B7</f>
        <v>0.14999999999999997</v>
      </c>
      <c r="D15" s="4">
        <f>B15*C15</f>
        <v>119.99999999999997</v>
      </c>
      <c r="E15" s="3" t="s">
        <v>131</v>
      </c>
    </row>
    <row r="16" spans="1:5" x14ac:dyDescent="0.3">
      <c r="A16" s="3" t="s">
        <v>134</v>
      </c>
      <c r="B16" s="4">
        <f>D8</f>
        <v>840</v>
      </c>
      <c r="C16" s="7">
        <f>D16/B16</f>
        <v>0.66666666666666663</v>
      </c>
      <c r="D16" s="4">
        <f>D8-D10</f>
        <v>560</v>
      </c>
      <c r="E16" s="3" t="s">
        <v>135</v>
      </c>
    </row>
    <row r="18" spans="1:6" x14ac:dyDescent="0.3">
      <c r="A18" s="1" t="s">
        <v>136</v>
      </c>
    </row>
    <row r="19" spans="1:6" ht="43.2" x14ac:dyDescent="0.3">
      <c r="A19" s="2" t="s">
        <v>1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141</v>
      </c>
    </row>
    <row r="20" spans="1:6" ht="28.8" x14ac:dyDescent="0.3">
      <c r="A20" s="3" t="s">
        <v>142</v>
      </c>
      <c r="B20" s="3" t="s">
        <v>143</v>
      </c>
      <c r="C20" s="4">
        <v>25</v>
      </c>
      <c r="D20" s="6">
        <v>4</v>
      </c>
      <c r="E20" s="4">
        <v>0</v>
      </c>
      <c r="F20" s="6">
        <v>0</v>
      </c>
    </row>
    <row r="21" spans="1:6" ht="28.8" x14ac:dyDescent="0.3">
      <c r="A21" s="3" t="s">
        <v>144</v>
      </c>
      <c r="B21" s="3" t="s">
        <v>145</v>
      </c>
      <c r="C21" s="4">
        <v>5</v>
      </c>
      <c r="D21" s="6">
        <v>0.5</v>
      </c>
      <c r="E21" s="4">
        <v>0</v>
      </c>
      <c r="F21" s="6">
        <v>0.5</v>
      </c>
    </row>
    <row r="22" spans="1:6" x14ac:dyDescent="0.3">
      <c r="A22" s="3" t="s">
        <v>146</v>
      </c>
      <c r="B22" s="3" t="s">
        <v>147</v>
      </c>
      <c r="C22" s="4">
        <v>20</v>
      </c>
      <c r="D22" s="6">
        <v>2</v>
      </c>
      <c r="E22" s="4">
        <v>20</v>
      </c>
      <c r="F22" s="6">
        <v>4</v>
      </c>
    </row>
    <row r="23" spans="1:6" ht="28.8" x14ac:dyDescent="0.3">
      <c r="A23" s="3" t="s">
        <v>148</v>
      </c>
      <c r="B23" s="3" t="s">
        <v>149</v>
      </c>
      <c r="C23" s="4">
        <v>20</v>
      </c>
      <c r="D23" s="6">
        <v>0.5</v>
      </c>
      <c r="E23" s="4">
        <v>20</v>
      </c>
      <c r="F23" s="6">
        <v>2</v>
      </c>
    </row>
    <row r="24" spans="1:6" x14ac:dyDescent="0.3">
      <c r="A24" s="3" t="s">
        <v>150</v>
      </c>
      <c r="B24" s="3" t="s">
        <v>151</v>
      </c>
      <c r="C24" s="4">
        <v>5</v>
      </c>
      <c r="D24" s="6">
        <v>1</v>
      </c>
      <c r="E24" s="4">
        <v>5</v>
      </c>
      <c r="F24" s="6">
        <v>1</v>
      </c>
    </row>
    <row r="26" spans="1:6" x14ac:dyDescent="0.3">
      <c r="A26" s="1" t="s">
        <v>152</v>
      </c>
    </row>
    <row r="27" spans="1:6" ht="43.2" x14ac:dyDescent="0.3">
      <c r="A27" s="2" t="s">
        <v>153</v>
      </c>
      <c r="B27" s="2" t="s">
        <v>154</v>
      </c>
      <c r="C27" s="2" t="s">
        <v>155</v>
      </c>
      <c r="D27" s="2" t="s">
        <v>156</v>
      </c>
      <c r="E27" s="2" t="s">
        <v>157</v>
      </c>
      <c r="F27" s="2" t="s">
        <v>158</v>
      </c>
    </row>
    <row r="28" spans="1:6" x14ac:dyDescent="0.3">
      <c r="A28" s="3" t="s">
        <v>159</v>
      </c>
      <c r="B28" s="3" t="s">
        <v>160</v>
      </c>
      <c r="C28" s="4">
        <v>15</v>
      </c>
      <c r="D28" s="6">
        <v>2</v>
      </c>
      <c r="E28" s="4">
        <v>10</v>
      </c>
      <c r="F28" s="6">
        <v>2</v>
      </c>
    </row>
    <row r="29" spans="1:6" x14ac:dyDescent="0.3">
      <c r="A29" s="3" t="s">
        <v>161</v>
      </c>
      <c r="B29" s="3" t="s">
        <v>162</v>
      </c>
      <c r="C29" s="4">
        <v>30</v>
      </c>
      <c r="D29" s="6">
        <v>2</v>
      </c>
      <c r="E29" s="4">
        <v>10</v>
      </c>
      <c r="F29" s="6">
        <v>4</v>
      </c>
    </row>
    <row r="30" spans="1:6" x14ac:dyDescent="0.3">
      <c r="A30" s="3" t="s">
        <v>163</v>
      </c>
      <c r="B30" s="3" t="s">
        <v>164</v>
      </c>
      <c r="C30" s="4">
        <v>30</v>
      </c>
      <c r="D30" s="6">
        <v>2</v>
      </c>
      <c r="E30" s="4">
        <v>25</v>
      </c>
      <c r="F30" s="6">
        <v>8</v>
      </c>
    </row>
    <row r="32" spans="1:6" x14ac:dyDescent="0.3">
      <c r="A32" s="1" t="s">
        <v>165</v>
      </c>
    </row>
    <row r="33" spans="1:12" ht="28.8" x14ac:dyDescent="0.3">
      <c r="A33" s="2" t="s">
        <v>1</v>
      </c>
      <c r="B33" s="2" t="s">
        <v>2</v>
      </c>
      <c r="C33" s="2" t="s">
        <v>3</v>
      </c>
      <c r="D33" s="2" t="s">
        <v>4</v>
      </c>
      <c r="E33" s="2" t="s">
        <v>5</v>
      </c>
      <c r="F33" s="2" t="s">
        <v>6</v>
      </c>
      <c r="G33" s="2" t="s">
        <v>7</v>
      </c>
      <c r="H33" s="2" t="s">
        <v>8</v>
      </c>
      <c r="I33" s="2" t="s">
        <v>9</v>
      </c>
    </row>
    <row r="34" spans="1:12" ht="28.8" x14ac:dyDescent="0.3">
      <c r="A34" s="3" t="s">
        <v>166</v>
      </c>
      <c r="B34" s="3" t="str">
        <f>B20</f>
        <v>Una sola captura en plataforma; autorizaciones firmadas y escaneadas</v>
      </c>
      <c r="C34" s="4">
        <f>C20</f>
        <v>25</v>
      </c>
      <c r="D34" s="5">
        <f t="shared" ref="D34:D40" si="1">C34/60</f>
        <v>0.41666666666666669</v>
      </c>
      <c r="E34" s="5">
        <f>D20</f>
        <v>4</v>
      </c>
      <c r="F34" s="5">
        <f t="shared" ref="F34:F40" si="2">D34+E34</f>
        <v>4.416666666666667</v>
      </c>
      <c r="G34" s="7">
        <v>1</v>
      </c>
      <c r="H34" s="5">
        <f t="shared" ref="H34:H40" si="3">F34*G34</f>
        <v>4.416666666666667</v>
      </c>
      <c r="I34" s="7">
        <f t="shared" ref="I34:I40" si="4">H34/$H$41</f>
        <v>0.28900804260305724</v>
      </c>
    </row>
    <row r="35" spans="1:12" ht="28.8" x14ac:dyDescent="0.3">
      <c r="A35" s="3" t="s">
        <v>167</v>
      </c>
      <c r="B35" s="3" t="str">
        <f>B21</f>
        <v>Software lee documentos; buró, listas, Registro Civil y SRI en paralelo</v>
      </c>
      <c r="C35" s="4">
        <f>C21</f>
        <v>5</v>
      </c>
      <c r="D35" s="5">
        <f t="shared" si="1"/>
        <v>8.3333333333333329E-2</v>
      </c>
      <c r="E35" s="5">
        <f>D21</f>
        <v>0.5</v>
      </c>
      <c r="F35" s="5">
        <f t="shared" si="2"/>
        <v>0.58333333333333337</v>
      </c>
      <c r="G35" s="7">
        <v>1</v>
      </c>
      <c r="H35" s="5">
        <f t="shared" si="3"/>
        <v>0.58333333333333337</v>
      </c>
      <c r="I35" s="7">
        <f t="shared" si="4"/>
        <v>3.8170873551347184E-2</v>
      </c>
    </row>
    <row r="36" spans="1:12" x14ac:dyDescent="0.3">
      <c r="A36" s="3" t="s">
        <v>168</v>
      </c>
      <c r="B36" s="3" t="str">
        <f>B29</f>
        <v>Todo el expediente</v>
      </c>
      <c r="C36" s="4">
        <f>C29</f>
        <v>30</v>
      </c>
      <c r="D36" s="5">
        <f t="shared" si="1"/>
        <v>0.5</v>
      </c>
      <c r="E36" s="5">
        <f>D29</f>
        <v>2</v>
      </c>
      <c r="F36" s="5">
        <f t="shared" si="2"/>
        <v>2.5</v>
      </c>
      <c r="G36" s="7">
        <v>1</v>
      </c>
      <c r="H36" s="5">
        <f t="shared" si="3"/>
        <v>2.5</v>
      </c>
      <c r="I36" s="7">
        <f t="shared" si="4"/>
        <v>0.16358945807720221</v>
      </c>
    </row>
    <row r="37" spans="1:12" ht="28.8" x14ac:dyDescent="0.3">
      <c r="A37" s="3" t="s">
        <v>22</v>
      </c>
      <c r="B37" s="3" t="s">
        <v>169</v>
      </c>
      <c r="C37" s="4">
        <v>30</v>
      </c>
      <c r="D37" s="5">
        <f t="shared" si="1"/>
        <v>0.5</v>
      </c>
      <c r="E37" s="5">
        <f>D29</f>
        <v>2</v>
      </c>
      <c r="F37" s="5">
        <f t="shared" si="2"/>
        <v>2.5</v>
      </c>
      <c r="G37" s="7">
        <f>D82</f>
        <v>7.952999999999999E-2</v>
      </c>
      <c r="H37" s="5">
        <f t="shared" si="3"/>
        <v>0.19882499999999997</v>
      </c>
      <c r="I37" s="7">
        <f t="shared" si="4"/>
        <v>1.3010269600879891E-2</v>
      </c>
    </row>
    <row r="38" spans="1:12" x14ac:dyDescent="0.3">
      <c r="A38" s="3" t="s">
        <v>16</v>
      </c>
      <c r="B38" s="3" t="str">
        <f>B29</f>
        <v>Todo el expediente</v>
      </c>
      <c r="C38" s="4">
        <f>E29</f>
        <v>10</v>
      </c>
      <c r="D38" s="5">
        <f t="shared" si="1"/>
        <v>0.16666666666666666</v>
      </c>
      <c r="E38" s="5">
        <f>F29</f>
        <v>4</v>
      </c>
      <c r="F38" s="5">
        <f t="shared" si="2"/>
        <v>4.166666666666667</v>
      </c>
      <c r="G38" s="7">
        <v>1</v>
      </c>
      <c r="H38" s="5">
        <f t="shared" si="3"/>
        <v>4.166666666666667</v>
      </c>
      <c r="I38" s="7">
        <f t="shared" si="4"/>
        <v>0.27264909679533705</v>
      </c>
    </row>
    <row r="39" spans="1:12" x14ac:dyDescent="0.3">
      <c r="A39" s="3" t="s">
        <v>18</v>
      </c>
      <c r="B39" s="3" t="str">
        <f>B22</f>
        <v>Documentos generados por el sistema</v>
      </c>
      <c r="C39" s="4">
        <f>C22</f>
        <v>20</v>
      </c>
      <c r="D39" s="5">
        <f t="shared" si="1"/>
        <v>0.33333333333333331</v>
      </c>
      <c r="E39" s="5">
        <f>D22</f>
        <v>2</v>
      </c>
      <c r="F39" s="5">
        <f t="shared" si="2"/>
        <v>2.3333333333333335</v>
      </c>
      <c r="G39" s="7">
        <v>1</v>
      </c>
      <c r="H39" s="5">
        <f t="shared" si="3"/>
        <v>2.3333333333333335</v>
      </c>
      <c r="I39" s="7">
        <f t="shared" si="4"/>
        <v>0.15268349420538874</v>
      </c>
    </row>
    <row r="40" spans="1:12" x14ac:dyDescent="0.3">
      <c r="A40" s="3" t="s">
        <v>20</v>
      </c>
      <c r="B40" s="3" t="str">
        <f>B24</f>
        <v>Acreditación integrada al core</v>
      </c>
      <c r="C40" s="4">
        <f>C24</f>
        <v>5</v>
      </c>
      <c r="D40" s="5">
        <f t="shared" si="1"/>
        <v>8.3333333333333329E-2</v>
      </c>
      <c r="E40" s="5">
        <f>D24</f>
        <v>1</v>
      </c>
      <c r="F40" s="5">
        <f t="shared" si="2"/>
        <v>1.0833333333333333</v>
      </c>
      <c r="G40" s="7">
        <v>1</v>
      </c>
      <c r="H40" s="5">
        <f t="shared" si="3"/>
        <v>1.0833333333333333</v>
      </c>
      <c r="I40" s="7">
        <f t="shared" si="4"/>
        <v>7.0888765166787618E-2</v>
      </c>
    </row>
    <row r="41" spans="1:12" x14ac:dyDescent="0.3">
      <c r="A41" s="8" t="s">
        <v>24</v>
      </c>
      <c r="B41" s="8"/>
      <c r="C41" s="9"/>
      <c r="D41" s="10"/>
      <c r="E41" s="10"/>
      <c r="F41" s="10"/>
      <c r="G41" s="12"/>
      <c r="H41" s="10">
        <f>SUM(H34:H40)</f>
        <v>15.282158333333335</v>
      </c>
      <c r="I41" s="12">
        <f>SUM(I34:I40)</f>
        <v>0.99999999999999989</v>
      </c>
    </row>
    <row r="43" spans="1:12" x14ac:dyDescent="0.3">
      <c r="A43" t="s">
        <v>170</v>
      </c>
      <c r="H43" s="14">
        <f>H41/8</f>
        <v>1.9102697916666669</v>
      </c>
    </row>
    <row r="45" spans="1:12" x14ac:dyDescent="0.3">
      <c r="A45" s="1" t="s">
        <v>171</v>
      </c>
    </row>
    <row r="46" spans="1:12" ht="28.8" x14ac:dyDescent="0.3">
      <c r="A46" s="2" t="s">
        <v>172</v>
      </c>
      <c r="B46" s="2" t="s">
        <v>173</v>
      </c>
      <c r="C46" s="2" t="s">
        <v>174</v>
      </c>
      <c r="D46" s="2" t="s">
        <v>175</v>
      </c>
      <c r="E46" s="2" t="s">
        <v>176</v>
      </c>
      <c r="F46" s="2" t="s">
        <v>177</v>
      </c>
      <c r="G46" s="2" t="s">
        <v>178</v>
      </c>
      <c r="H46" s="2" t="s">
        <v>179</v>
      </c>
      <c r="I46" s="2" t="s">
        <v>180</v>
      </c>
      <c r="J46" s="2" t="s">
        <v>181</v>
      </c>
      <c r="K46" s="2" t="s">
        <v>182</v>
      </c>
      <c r="L46" s="2" t="s">
        <v>183</v>
      </c>
    </row>
    <row r="47" spans="1:12" x14ac:dyDescent="0.3">
      <c r="A47" s="3" t="s">
        <v>184</v>
      </c>
      <c r="B47" s="3" t="s">
        <v>185</v>
      </c>
      <c r="C47" s="5">
        <f>D20+C20/60</f>
        <v>4.416666666666667</v>
      </c>
      <c r="D47" s="5">
        <f>D21+C21/60</f>
        <v>0.58333333333333337</v>
      </c>
      <c r="E47" s="5">
        <v>0</v>
      </c>
      <c r="F47" s="5">
        <v>0</v>
      </c>
      <c r="G47" s="5">
        <v>0</v>
      </c>
      <c r="H47" s="5">
        <f>D23+C23/60</f>
        <v>0.83333333333333326</v>
      </c>
      <c r="I47" s="5">
        <f>D24+C24/60</f>
        <v>1.0833333333333333</v>
      </c>
      <c r="J47" s="5">
        <f t="shared" ref="J47:J54" si="5">SUM(C47:I47)</f>
        <v>6.9166666666666661</v>
      </c>
      <c r="K47" s="5">
        <f t="shared" ref="K47:K54" si="6">J47/8</f>
        <v>0.86458333333333326</v>
      </c>
      <c r="L47" s="4">
        <f>D10*$C$5</f>
        <v>210</v>
      </c>
    </row>
    <row r="48" spans="1:12" x14ac:dyDescent="0.3">
      <c r="A48" s="3" t="s">
        <v>184</v>
      </c>
      <c r="B48" s="3" t="s">
        <v>186</v>
      </c>
      <c r="C48" s="5">
        <f>F20+E20/60</f>
        <v>0</v>
      </c>
      <c r="D48" s="5">
        <f>F21+E21/60</f>
        <v>0.5</v>
      </c>
      <c r="E48" s="5">
        <v>0</v>
      </c>
      <c r="F48" s="5">
        <v>0</v>
      </c>
      <c r="G48" s="5">
        <v>0</v>
      </c>
      <c r="H48" s="5">
        <f>F23+E23/60</f>
        <v>2.3333333333333335</v>
      </c>
      <c r="I48" s="5">
        <f>F24+E24/60</f>
        <v>1.0833333333333333</v>
      </c>
      <c r="J48" s="5">
        <f t="shared" si="5"/>
        <v>3.916666666666667</v>
      </c>
      <c r="K48" s="5">
        <f t="shared" si="6"/>
        <v>0.48958333333333337</v>
      </c>
      <c r="L48" s="4">
        <f>D10*$C$4</f>
        <v>70</v>
      </c>
    </row>
    <row r="49" spans="1:12" x14ac:dyDescent="0.3">
      <c r="A49" s="3" t="s">
        <v>159</v>
      </c>
      <c r="B49" s="3" t="s">
        <v>185</v>
      </c>
      <c r="C49" s="5">
        <f>D20+C20/60</f>
        <v>4.416666666666667</v>
      </c>
      <c r="D49" s="5">
        <f>D21+C21/60</f>
        <v>0.58333333333333337</v>
      </c>
      <c r="E49" s="5">
        <f>D28+C28/60</f>
        <v>2.25</v>
      </c>
      <c r="F49" s="5">
        <f>F28+E28/60</f>
        <v>2.1666666666666665</v>
      </c>
      <c r="G49" s="5">
        <f t="shared" ref="G49:G54" si="7">$H$37</f>
        <v>0.19882499999999997</v>
      </c>
      <c r="H49" s="5">
        <f>D22+C22/60</f>
        <v>2.3333333333333335</v>
      </c>
      <c r="I49" s="5">
        <f>D24+C24/60</f>
        <v>1.0833333333333333</v>
      </c>
      <c r="J49" s="5">
        <f t="shared" si="5"/>
        <v>13.032158333333333</v>
      </c>
      <c r="K49" s="5">
        <f t="shared" si="6"/>
        <v>1.6290197916666667</v>
      </c>
      <c r="L49" s="4">
        <f>D16*Supuestos!B5*$C$5</f>
        <v>168</v>
      </c>
    </row>
    <row r="50" spans="1:12" x14ac:dyDescent="0.3">
      <c r="A50" s="3" t="s">
        <v>159</v>
      </c>
      <c r="B50" s="3" t="s">
        <v>186</v>
      </c>
      <c r="C50" s="5">
        <f>F20+E20/60</f>
        <v>0</v>
      </c>
      <c r="D50" s="5">
        <f>F21+E21/60</f>
        <v>0.5</v>
      </c>
      <c r="E50" s="5">
        <f>D28+C28/60</f>
        <v>2.25</v>
      </c>
      <c r="F50" s="5">
        <f>F28+E28/60</f>
        <v>2.1666666666666665</v>
      </c>
      <c r="G50" s="5">
        <f t="shared" si="7"/>
        <v>0.19882499999999997</v>
      </c>
      <c r="H50" s="5">
        <f>F22+E22/60</f>
        <v>4.333333333333333</v>
      </c>
      <c r="I50" s="5">
        <f>F24+E24/60</f>
        <v>1.0833333333333333</v>
      </c>
      <c r="J50" s="5">
        <f t="shared" si="5"/>
        <v>10.532158333333333</v>
      </c>
      <c r="K50" s="5">
        <f t="shared" si="6"/>
        <v>1.3165197916666667</v>
      </c>
      <c r="L50" s="4">
        <f>D16*Supuestos!B5*$C$4</f>
        <v>56</v>
      </c>
    </row>
    <row r="51" spans="1:12" x14ac:dyDescent="0.3">
      <c r="A51" s="3" t="s">
        <v>161</v>
      </c>
      <c r="B51" s="3" t="s">
        <v>185</v>
      </c>
      <c r="C51" s="5">
        <f>D20+C20/60</f>
        <v>4.416666666666667</v>
      </c>
      <c r="D51" s="5">
        <f>D21+C21/60</f>
        <v>0.58333333333333337</v>
      </c>
      <c r="E51" s="5">
        <f>D29+C29/60</f>
        <v>2.5</v>
      </c>
      <c r="F51" s="5">
        <f>F29+E29/60</f>
        <v>4.166666666666667</v>
      </c>
      <c r="G51" s="5">
        <f t="shared" si="7"/>
        <v>0.19882499999999997</v>
      </c>
      <c r="H51" s="5">
        <f>D22+C22/60</f>
        <v>2.3333333333333335</v>
      </c>
      <c r="I51" s="5">
        <f>D24+C24/60</f>
        <v>1.0833333333333333</v>
      </c>
      <c r="J51" s="5">
        <f t="shared" si="5"/>
        <v>15.282158333333335</v>
      </c>
      <c r="K51" s="5">
        <f t="shared" si="6"/>
        <v>1.9102697916666669</v>
      </c>
      <c r="L51" s="4">
        <f>D16*Supuestos!B6*$C$5</f>
        <v>189</v>
      </c>
    </row>
    <row r="52" spans="1:12" x14ac:dyDescent="0.3">
      <c r="A52" s="3" t="s">
        <v>161</v>
      </c>
      <c r="B52" s="3" t="s">
        <v>186</v>
      </c>
      <c r="C52" s="5">
        <f>F20+E20/60</f>
        <v>0</v>
      </c>
      <c r="D52" s="5">
        <f>F21+E21/60</f>
        <v>0.5</v>
      </c>
      <c r="E52" s="5">
        <f>D29+C29/60</f>
        <v>2.5</v>
      </c>
      <c r="F52" s="5">
        <f>F29+E29/60</f>
        <v>4.166666666666667</v>
      </c>
      <c r="G52" s="5">
        <f t="shared" si="7"/>
        <v>0.19882499999999997</v>
      </c>
      <c r="H52" s="5">
        <f>F22+E22/60</f>
        <v>4.333333333333333</v>
      </c>
      <c r="I52" s="5">
        <f>F24+E24/60</f>
        <v>1.0833333333333333</v>
      </c>
      <c r="J52" s="5">
        <f t="shared" si="5"/>
        <v>12.782158333333333</v>
      </c>
      <c r="K52" s="5">
        <f t="shared" si="6"/>
        <v>1.5977697916666667</v>
      </c>
      <c r="L52" s="4">
        <f>D16*Supuestos!B6*$C$4</f>
        <v>63</v>
      </c>
    </row>
    <row r="53" spans="1:12" x14ac:dyDescent="0.3">
      <c r="A53" s="3" t="s">
        <v>163</v>
      </c>
      <c r="B53" s="3" t="s">
        <v>185</v>
      </c>
      <c r="C53" s="5">
        <f>D20+C20/60</f>
        <v>4.416666666666667</v>
      </c>
      <c r="D53" s="5">
        <f>D21+C21/60</f>
        <v>0.58333333333333337</v>
      </c>
      <c r="E53" s="5">
        <f>D30+C30/60</f>
        <v>2.5</v>
      </c>
      <c r="F53" s="5">
        <f>F30+E30/60</f>
        <v>8.4166666666666661</v>
      </c>
      <c r="G53" s="5">
        <f t="shared" si="7"/>
        <v>0.19882499999999997</v>
      </c>
      <c r="H53" s="5">
        <f>D22+C22/60</f>
        <v>2.3333333333333335</v>
      </c>
      <c r="I53" s="5">
        <f>D24+C24/60</f>
        <v>1.0833333333333333</v>
      </c>
      <c r="J53" s="5">
        <f t="shared" si="5"/>
        <v>19.532158333333332</v>
      </c>
      <c r="K53" s="5">
        <f t="shared" si="6"/>
        <v>2.4415197916666664</v>
      </c>
      <c r="L53" s="4">
        <f>D16*Supuestos!B7*$C$5</f>
        <v>62.999999999999986</v>
      </c>
    </row>
    <row r="54" spans="1:12" x14ac:dyDescent="0.3">
      <c r="A54" s="3" t="s">
        <v>163</v>
      </c>
      <c r="B54" s="3" t="s">
        <v>186</v>
      </c>
      <c r="C54" s="5">
        <f>F20+E20/60</f>
        <v>0</v>
      </c>
      <c r="D54" s="5">
        <f>F21+E21/60</f>
        <v>0.5</v>
      </c>
      <c r="E54" s="5">
        <f>D30+C30/60</f>
        <v>2.5</v>
      </c>
      <c r="F54" s="5">
        <f>F30+E30/60</f>
        <v>8.4166666666666661</v>
      </c>
      <c r="G54" s="5">
        <f t="shared" si="7"/>
        <v>0.19882499999999997</v>
      </c>
      <c r="H54" s="5">
        <f>F22+E22/60</f>
        <v>4.333333333333333</v>
      </c>
      <c r="I54" s="5">
        <f>F24+E24/60</f>
        <v>1.0833333333333333</v>
      </c>
      <c r="J54" s="5">
        <f t="shared" si="5"/>
        <v>17.032158333333332</v>
      </c>
      <c r="K54" s="5">
        <f t="shared" si="6"/>
        <v>2.1290197916666664</v>
      </c>
      <c r="L54" s="4">
        <f>D16*Supuestos!B7*$C$4</f>
        <v>20.999999999999996</v>
      </c>
    </row>
    <row r="55" spans="1:12" x14ac:dyDescent="0.3">
      <c r="A55" s="8" t="s">
        <v>24</v>
      </c>
      <c r="B55" s="8"/>
      <c r="C55" s="10"/>
      <c r="D55" s="10"/>
      <c r="E55" s="10"/>
      <c r="F55" s="10"/>
      <c r="G55" s="10"/>
      <c r="H55" s="10"/>
      <c r="I55" s="10"/>
      <c r="J55" s="10"/>
      <c r="K55" s="10"/>
      <c r="L55" s="9">
        <f>SUM(L47:L54)</f>
        <v>840</v>
      </c>
    </row>
    <row r="57" spans="1:12" x14ac:dyDescent="0.3">
      <c r="A57" t="s">
        <v>187</v>
      </c>
      <c r="K57" s="14">
        <f>SUMPRODUCT(K47:K54,L47:L54)/L55</f>
        <v>1.4564993055555555</v>
      </c>
    </row>
    <row r="58" spans="1:12" x14ac:dyDescent="0.3">
      <c r="A58" t="s">
        <v>188</v>
      </c>
      <c r="K58" s="14">
        <f>MAX(K47:K54)</f>
        <v>2.4415197916666664</v>
      </c>
    </row>
    <row r="59" spans="1:12" x14ac:dyDescent="0.3">
      <c r="A59" t="s">
        <v>189</v>
      </c>
      <c r="K59" s="15">
        <f>SUMIF(K47:K54,"&lt;=1",L47:L54)/L55</f>
        <v>0.33333333333333331</v>
      </c>
    </row>
    <row r="61" spans="1:12" x14ac:dyDescent="0.3">
      <c r="A61" s="1" t="s">
        <v>190</v>
      </c>
    </row>
    <row r="62" spans="1:12" ht="28.8" x14ac:dyDescent="0.3">
      <c r="A62" s="2" t="s">
        <v>30</v>
      </c>
      <c r="B62" s="2" t="s">
        <v>191</v>
      </c>
      <c r="C62" s="2" t="s">
        <v>192</v>
      </c>
      <c r="D62" s="2" t="s">
        <v>70</v>
      </c>
    </row>
    <row r="63" spans="1:12" x14ac:dyDescent="0.3">
      <c r="A63" s="3" t="s">
        <v>193</v>
      </c>
      <c r="B63" s="4">
        <f>D13</f>
        <v>320</v>
      </c>
      <c r="C63" s="4">
        <f>C28</f>
        <v>15</v>
      </c>
      <c r="D63" s="6">
        <f>B63*C63/60</f>
        <v>80</v>
      </c>
    </row>
    <row r="64" spans="1:12" x14ac:dyDescent="0.3">
      <c r="A64" s="3" t="s">
        <v>194</v>
      </c>
      <c r="B64" s="4">
        <f>D14</f>
        <v>360</v>
      </c>
      <c r="C64" s="4">
        <f>C29</f>
        <v>30</v>
      </c>
      <c r="D64" s="6">
        <f>B64*C64/60</f>
        <v>180</v>
      </c>
    </row>
    <row r="65" spans="1:5" x14ac:dyDescent="0.3">
      <c r="A65" s="3" t="s">
        <v>195</v>
      </c>
      <c r="B65" s="4">
        <f>D15</f>
        <v>119.99999999999997</v>
      </c>
      <c r="C65" s="4">
        <f>C30</f>
        <v>30</v>
      </c>
      <c r="D65" s="6">
        <f>B65*C65/60</f>
        <v>59.999999999999986</v>
      </c>
    </row>
    <row r="66" spans="1:5" ht="28.8" x14ac:dyDescent="0.3">
      <c r="A66" s="3" t="s">
        <v>196</v>
      </c>
      <c r="B66" s="4">
        <f>D12*D82</f>
        <v>63.623999999999995</v>
      </c>
      <c r="C66" s="4">
        <v>30</v>
      </c>
      <c r="D66" s="6">
        <f>B66*C66/60</f>
        <v>31.811999999999998</v>
      </c>
    </row>
    <row r="67" spans="1:5" ht="28.8" x14ac:dyDescent="0.3">
      <c r="A67" s="3" t="s">
        <v>197</v>
      </c>
      <c r="B67" s="4">
        <f>D3*Supuestos!B8</f>
        <v>225</v>
      </c>
      <c r="C67" s="4">
        <f>Supuestos!B9</f>
        <v>5</v>
      </c>
      <c r="D67" s="6">
        <f>B67*C67/60</f>
        <v>18.75</v>
      </c>
    </row>
    <row r="68" spans="1:5" x14ac:dyDescent="0.3">
      <c r="A68" s="8" t="s">
        <v>60</v>
      </c>
      <c r="B68" s="9"/>
      <c r="C68" s="9"/>
      <c r="D68" s="11">
        <f>SUM(D63:D67)</f>
        <v>370.56200000000001</v>
      </c>
    </row>
    <row r="70" spans="1:5" x14ac:dyDescent="0.3">
      <c r="A70" t="s">
        <v>198</v>
      </c>
      <c r="D70" s="17">
        <f>'AS IS'!C33</f>
        <v>1120</v>
      </c>
    </row>
    <row r="71" spans="1:5" x14ac:dyDescent="0.3">
      <c r="A71" t="s">
        <v>199</v>
      </c>
      <c r="D71" s="15">
        <f>D68/D70</f>
        <v>0.33085892857142857</v>
      </c>
    </row>
    <row r="72" spans="1:5" x14ac:dyDescent="0.3">
      <c r="A72" t="s">
        <v>63</v>
      </c>
      <c r="D72" s="18">
        <f>D68/('AS IS'!C32*0.85)</f>
        <v>3.1139663865546221</v>
      </c>
    </row>
    <row r="74" spans="1:5" x14ac:dyDescent="0.3">
      <c r="A74" s="1" t="s">
        <v>200</v>
      </c>
    </row>
    <row r="75" spans="1:5" x14ac:dyDescent="0.3">
      <c r="A75" s="2" t="s">
        <v>73</v>
      </c>
      <c r="B75" s="2" t="s">
        <v>201</v>
      </c>
      <c r="C75" s="2" t="s">
        <v>202</v>
      </c>
      <c r="D75" s="2" t="s">
        <v>203</v>
      </c>
      <c r="E75" s="2" t="s">
        <v>204</v>
      </c>
    </row>
    <row r="76" spans="1:5" ht="28.8" x14ac:dyDescent="0.3">
      <c r="A76" s="3" t="str">
        <f>'AS IS'!A54</f>
        <v>Documentos de ingresos incompletos o ilegibles</v>
      </c>
      <c r="B76" s="4">
        <f>'AS IS'!B54</f>
        <v>144</v>
      </c>
      <c r="C76" s="7">
        <f>Supuestos!C24</f>
        <v>0.68100000000000005</v>
      </c>
      <c r="D76" s="6">
        <f>B76*(1-C76)</f>
        <v>45.935999999999993</v>
      </c>
      <c r="E76" s="3" t="s">
        <v>205</v>
      </c>
    </row>
    <row r="77" spans="1:5" ht="28.8" x14ac:dyDescent="0.3">
      <c r="A77" s="3" t="str">
        <f>'AS IS'!A55</f>
        <v>Datos digitados que no coinciden con los documentos</v>
      </c>
      <c r="B77" s="4">
        <f>'AS IS'!B55</f>
        <v>108</v>
      </c>
      <c r="C77" s="7">
        <f>Supuestos!B10</f>
        <v>0.9</v>
      </c>
      <c r="D77" s="6">
        <f>B77*(1-C77)</f>
        <v>10.799999999999997</v>
      </c>
      <c r="E77" s="3" t="s">
        <v>206</v>
      </c>
    </row>
    <row r="78" spans="1:5" ht="28.8" x14ac:dyDescent="0.3">
      <c r="A78" s="3" t="str">
        <f>'AS IS'!A56</f>
        <v>Falta la autorización de consulta al buró</v>
      </c>
      <c r="B78" s="4">
        <f>'AS IS'!B56</f>
        <v>54</v>
      </c>
      <c r="C78" s="7">
        <f>Supuestos!B11</f>
        <v>0.95</v>
      </c>
      <c r="D78" s="6">
        <f>B78*(1-C78)</f>
        <v>2.7000000000000024</v>
      </c>
      <c r="E78" s="3" t="s">
        <v>207</v>
      </c>
    </row>
    <row r="79" spans="1:5" x14ac:dyDescent="0.3">
      <c r="A79" s="3" t="str">
        <f>'AS IS'!A57</f>
        <v>Dirección o referencias sin verificar</v>
      </c>
      <c r="B79" s="4">
        <f>'AS IS'!B57</f>
        <v>36</v>
      </c>
      <c r="C79" s="7">
        <f>Supuestos!B12</f>
        <v>0.5</v>
      </c>
      <c r="D79" s="6">
        <f>B79*(1-C79)</f>
        <v>18</v>
      </c>
      <c r="E79" s="3" t="s">
        <v>208</v>
      </c>
    </row>
    <row r="80" spans="1:5" x14ac:dyDescent="0.3">
      <c r="A80" s="3" t="str">
        <f>'AS IS'!A58</f>
        <v>Otras</v>
      </c>
      <c r="B80" s="4">
        <f>'AS IS'!B58</f>
        <v>18</v>
      </c>
      <c r="C80" s="7">
        <v>0</v>
      </c>
      <c r="D80" s="6">
        <f>B80*(1-C80)</f>
        <v>18</v>
      </c>
      <c r="E80" s="3" t="s">
        <v>209</v>
      </c>
    </row>
    <row r="81" spans="1:5" x14ac:dyDescent="0.3">
      <c r="A81" s="8" t="s">
        <v>24</v>
      </c>
      <c r="B81" s="9">
        <f>SUM(B76:B80)</f>
        <v>360</v>
      </c>
      <c r="C81" s="12">
        <f>1-D81/B81</f>
        <v>0.7349</v>
      </c>
      <c r="D81" s="11">
        <f>SUM(D76:D80)</f>
        <v>95.435999999999993</v>
      </c>
      <c r="E81" s="8"/>
    </row>
    <row r="82" spans="1:5" x14ac:dyDescent="0.3">
      <c r="A82" t="s">
        <v>210</v>
      </c>
      <c r="D82" s="15">
        <f>D81/D7</f>
        <v>7.952999999999999E-2</v>
      </c>
    </row>
    <row r="84" spans="1:5" x14ac:dyDescent="0.3">
      <c r="A84" s="1" t="s">
        <v>211</v>
      </c>
    </row>
    <row r="85" spans="1:5" ht="28.8" x14ac:dyDescent="0.3">
      <c r="A85" s="2" t="s">
        <v>1</v>
      </c>
      <c r="B85" s="2" t="s">
        <v>68</v>
      </c>
      <c r="C85" s="2" t="s">
        <v>69</v>
      </c>
      <c r="D85" s="2" t="s">
        <v>70</v>
      </c>
    </row>
    <row r="86" spans="1:5" x14ac:dyDescent="0.3">
      <c r="A86" s="3" t="s">
        <v>212</v>
      </c>
      <c r="B86" s="4">
        <f>D5</f>
        <v>1125</v>
      </c>
      <c r="C86" s="4">
        <f>C20</f>
        <v>25</v>
      </c>
      <c r="D86" s="4">
        <f>B86*C86/60</f>
        <v>468.75</v>
      </c>
    </row>
    <row r="87" spans="1:5" x14ac:dyDescent="0.3">
      <c r="A87" s="3" t="s">
        <v>213</v>
      </c>
      <c r="B87" s="4">
        <f>D5</f>
        <v>1125</v>
      </c>
      <c r="C87" s="4">
        <f>C21</f>
        <v>5</v>
      </c>
      <c r="D87" s="4">
        <f>B87*C87/60</f>
        <v>93.75</v>
      </c>
    </row>
    <row r="88" spans="1:5" x14ac:dyDescent="0.3">
      <c r="A88" s="3" t="s">
        <v>214</v>
      </c>
      <c r="B88" s="4"/>
      <c r="C88" s="4"/>
      <c r="D88" s="4">
        <f>D68</f>
        <v>370.56200000000001</v>
      </c>
    </row>
    <row r="89" spans="1:5" x14ac:dyDescent="0.3">
      <c r="A89" s="3" t="s">
        <v>215</v>
      </c>
      <c r="B89" s="4">
        <f>D12</f>
        <v>800</v>
      </c>
      <c r="C89" s="4"/>
      <c r="D89" s="4">
        <f>(D13*E28+D14*E29+D15*E30)/60</f>
        <v>163.33333333333334</v>
      </c>
    </row>
    <row r="90" spans="1:5" x14ac:dyDescent="0.3">
      <c r="A90" s="3" t="s">
        <v>146</v>
      </c>
      <c r="B90" s="4">
        <f>'AS IS'!C21</f>
        <v>840</v>
      </c>
      <c r="C90" s="4">
        <f>C22</f>
        <v>20</v>
      </c>
      <c r="D90" s="4">
        <f>B90*C90/60</f>
        <v>280</v>
      </c>
    </row>
    <row r="91" spans="1:5" x14ac:dyDescent="0.3">
      <c r="A91" s="3" t="s">
        <v>150</v>
      </c>
      <c r="B91" s="4">
        <f>'AS IS'!C22</f>
        <v>720</v>
      </c>
      <c r="C91" s="4">
        <f>C24</f>
        <v>5</v>
      </c>
      <c r="D91" s="4">
        <f>B91*C91/60</f>
        <v>60</v>
      </c>
    </row>
    <row r="92" spans="1:5" x14ac:dyDescent="0.3">
      <c r="A92" s="8" t="s">
        <v>24</v>
      </c>
      <c r="B92" s="9"/>
      <c r="C92" s="9"/>
      <c r="D92" s="9">
        <f>SUM(D86:D91)</f>
        <v>1436.3953333333334</v>
      </c>
    </row>
    <row r="94" spans="1:5" x14ac:dyDescent="0.3">
      <c r="A94" s="1" t="s">
        <v>216</v>
      </c>
    </row>
    <row r="95" spans="1:5" x14ac:dyDescent="0.3">
      <c r="A95" s="2" t="s">
        <v>217</v>
      </c>
      <c r="B95" s="2" t="s">
        <v>201</v>
      </c>
      <c r="C95" s="2" t="s">
        <v>203</v>
      </c>
      <c r="D95" s="2" t="s">
        <v>218</v>
      </c>
      <c r="E95" s="2" t="s">
        <v>219</v>
      </c>
    </row>
    <row r="96" spans="1:5" x14ac:dyDescent="0.3">
      <c r="A96" s="3" t="s">
        <v>220</v>
      </c>
      <c r="B96" s="19">
        <f>'AS IS'!H12</f>
        <v>9.8145833333333332</v>
      </c>
      <c r="C96" s="19">
        <f>K57</f>
        <v>1.4564993055555555</v>
      </c>
      <c r="D96" s="19">
        <f t="shared" ref="D96:D101" si="8">C96-B96</f>
        <v>-8.3580840277777781</v>
      </c>
      <c r="E96" s="7">
        <f t="shared" ref="E96:E101" si="9">(C96-B96)/B96</f>
        <v>-0.85159845751079044</v>
      </c>
    </row>
    <row r="97" spans="1:5" x14ac:dyDescent="0.3">
      <c r="A97" s="3" t="s">
        <v>188</v>
      </c>
      <c r="B97" s="19">
        <f>SUM('AS IS'!F3:F9)/8</f>
        <v>11.958333333333334</v>
      </c>
      <c r="C97" s="19">
        <f>K58</f>
        <v>2.4415197916666664</v>
      </c>
      <c r="D97" s="19">
        <f t="shared" si="8"/>
        <v>-9.5168135416666679</v>
      </c>
      <c r="E97" s="7">
        <f t="shared" si="9"/>
        <v>-0.7958310975609757</v>
      </c>
    </row>
    <row r="98" spans="1:5" x14ac:dyDescent="0.3">
      <c r="A98" s="3" t="s">
        <v>221</v>
      </c>
      <c r="B98" s="20">
        <f>'AS IS'!D25</f>
        <v>360</v>
      </c>
      <c r="C98" s="20">
        <f>D81</f>
        <v>95.435999999999993</v>
      </c>
      <c r="D98" s="20">
        <f t="shared" si="8"/>
        <v>-264.56400000000002</v>
      </c>
      <c r="E98" s="7">
        <f t="shared" si="9"/>
        <v>-0.73490000000000011</v>
      </c>
    </row>
    <row r="99" spans="1:5" x14ac:dyDescent="0.3">
      <c r="A99" s="3" t="s">
        <v>222</v>
      </c>
      <c r="B99" s="21">
        <f>'AS IS'!C37</f>
        <v>0.9642857142857143</v>
      </c>
      <c r="C99" s="21">
        <f>D71</f>
        <v>0.33085892857142857</v>
      </c>
      <c r="D99" s="21">
        <f t="shared" si="8"/>
        <v>-0.63342678571428568</v>
      </c>
      <c r="E99" s="7">
        <f t="shared" si="9"/>
        <v>-0.65688703703703699</v>
      </c>
    </row>
    <row r="100" spans="1:5" x14ac:dyDescent="0.3">
      <c r="A100" s="3" t="s">
        <v>223</v>
      </c>
      <c r="B100" s="22">
        <f>'AS IS'!C38</f>
        <v>9.0756302521008401</v>
      </c>
      <c r="C100" s="22">
        <f>D72</f>
        <v>3.1139663865546221</v>
      </c>
      <c r="D100" s="22">
        <f t="shared" si="8"/>
        <v>-5.9616638655462175</v>
      </c>
      <c r="E100" s="7">
        <f t="shared" si="9"/>
        <v>-0.65688703703703699</v>
      </c>
    </row>
    <row r="101" spans="1:5" x14ac:dyDescent="0.3">
      <c r="A101" s="3" t="s">
        <v>224</v>
      </c>
      <c r="B101" s="20">
        <f>'AS IS'!D50</f>
        <v>3940</v>
      </c>
      <c r="C101" s="20">
        <f>D92</f>
        <v>1436.3953333333334</v>
      </c>
      <c r="D101" s="20">
        <f t="shared" si="8"/>
        <v>-2503.6046666666666</v>
      </c>
      <c r="E101" s="7">
        <f t="shared" si="9"/>
        <v>-0.63543265651438241</v>
      </c>
    </row>
    <row r="103" spans="1:5" x14ac:dyDescent="0.3">
      <c r="A103" s="1" t="s">
        <v>225</v>
      </c>
    </row>
    <row r="104" spans="1:5" x14ac:dyDescent="0.3">
      <c r="A104" s="2" t="s">
        <v>1</v>
      </c>
      <c r="B104" s="2" t="s">
        <v>201</v>
      </c>
      <c r="C104" s="2" t="s">
        <v>203</v>
      </c>
    </row>
    <row r="105" spans="1:5" x14ac:dyDescent="0.3">
      <c r="A105" s="3" t="s">
        <v>226</v>
      </c>
      <c r="B105" s="5">
        <f>'AS IS'!H3</f>
        <v>4.666666666666667</v>
      </c>
      <c r="C105" s="5">
        <f t="shared" ref="C105:C111" si="10">H34</f>
        <v>4.416666666666667</v>
      </c>
    </row>
    <row r="106" spans="1:5" x14ac:dyDescent="0.3">
      <c r="A106" s="3" t="s">
        <v>227</v>
      </c>
      <c r="B106" s="5">
        <f>'AS IS'!H4</f>
        <v>8.5</v>
      </c>
      <c r="C106" s="5">
        <f t="shared" si="10"/>
        <v>0.58333333333333337</v>
      </c>
    </row>
    <row r="107" spans="1:5" x14ac:dyDescent="0.3">
      <c r="A107" s="3" t="s">
        <v>228</v>
      </c>
      <c r="B107" s="5">
        <f>'AS IS'!H5</f>
        <v>24.75</v>
      </c>
      <c r="C107" s="5">
        <f t="shared" si="10"/>
        <v>2.5</v>
      </c>
    </row>
    <row r="108" spans="1:5" x14ac:dyDescent="0.3">
      <c r="A108" s="3" t="s">
        <v>229</v>
      </c>
      <c r="B108" s="5">
        <f>'AS IS'!H9</f>
        <v>7.35</v>
      </c>
      <c r="C108" s="5">
        <f t="shared" si="10"/>
        <v>0.19882499999999997</v>
      </c>
    </row>
    <row r="109" spans="1:5" x14ac:dyDescent="0.3">
      <c r="A109" s="3" t="s">
        <v>16</v>
      </c>
      <c r="B109" s="5">
        <f>'AS IS'!H6</f>
        <v>16.25</v>
      </c>
      <c r="C109" s="5">
        <f t="shared" si="10"/>
        <v>4.166666666666667</v>
      </c>
    </row>
    <row r="110" spans="1:5" x14ac:dyDescent="0.3">
      <c r="A110" s="3" t="s">
        <v>18</v>
      </c>
      <c r="B110" s="5">
        <f>'AS IS'!H7</f>
        <v>12.75</v>
      </c>
      <c r="C110" s="5">
        <f t="shared" si="10"/>
        <v>2.3333333333333335</v>
      </c>
    </row>
    <row r="111" spans="1:5" x14ac:dyDescent="0.3">
      <c r="A111" s="3" t="s">
        <v>20</v>
      </c>
      <c r="B111" s="5">
        <f>'AS IS'!H8</f>
        <v>4.25</v>
      </c>
      <c r="C111" s="5">
        <f t="shared" si="10"/>
        <v>1.0833333333333333</v>
      </c>
    </row>
    <row r="112" spans="1:5" x14ac:dyDescent="0.3">
      <c r="A112" s="8" t="s">
        <v>24</v>
      </c>
      <c r="B112" s="10">
        <f>SUM(B105:B111)</f>
        <v>78.51666666666668</v>
      </c>
      <c r="C112" s="10">
        <f>SUM(C105:C111)</f>
        <v>15.282158333333335</v>
      </c>
    </row>
    <row r="114" spans="1:3" x14ac:dyDescent="0.3">
      <c r="A114" s="1" t="s">
        <v>230</v>
      </c>
    </row>
    <row r="115" spans="1:3" x14ac:dyDescent="0.3">
      <c r="A115" s="2" t="s">
        <v>30</v>
      </c>
      <c r="B115" s="2" t="s">
        <v>201</v>
      </c>
      <c r="C115" s="2" t="s">
        <v>203</v>
      </c>
    </row>
    <row r="116" spans="1:3" x14ac:dyDescent="0.3">
      <c r="A116" s="3" t="s">
        <v>50</v>
      </c>
      <c r="B116" s="4">
        <f>'AS IS'!C71</f>
        <v>8</v>
      </c>
      <c r="C116" s="4">
        <f>'AS IS'!C31</f>
        <v>8</v>
      </c>
    </row>
    <row r="117" spans="1:3" x14ac:dyDescent="0.3">
      <c r="A117" s="3" t="s">
        <v>231</v>
      </c>
      <c r="B117" s="4">
        <f>'AS IS'!C36</f>
        <v>1080</v>
      </c>
      <c r="C117" s="4">
        <f>D68</f>
        <v>370.56200000000001</v>
      </c>
    </row>
    <row r="118" spans="1:3" x14ac:dyDescent="0.3">
      <c r="A118" s="3" t="s">
        <v>61</v>
      </c>
      <c r="B118" s="7">
        <f>'AS IS'!C72</f>
        <v>0.9642857142857143</v>
      </c>
      <c r="C118" s="7">
        <f>D71</f>
        <v>0.33085892857142857</v>
      </c>
    </row>
    <row r="119" spans="1:3" x14ac:dyDescent="0.3">
      <c r="A119" s="3" t="s">
        <v>232</v>
      </c>
      <c r="B119" s="4">
        <f>'AS IS'!C73</f>
        <v>1560</v>
      </c>
      <c r="C119" s="4">
        <f>D12*(1+D82)+B67</f>
        <v>1088.624</v>
      </c>
    </row>
    <row r="120" spans="1:3" x14ac:dyDescent="0.3">
      <c r="A120" s="3" t="s">
        <v>233</v>
      </c>
      <c r="B120" s="6">
        <f>'AS IS'!C74</f>
        <v>41.53846153846154</v>
      </c>
      <c r="C120" s="6">
        <f>C117*60/C119</f>
        <v>20.423690824380135</v>
      </c>
    </row>
    <row r="121" spans="1:3" x14ac:dyDescent="0.3">
      <c r="A121" s="3" t="s">
        <v>108</v>
      </c>
      <c r="B121" s="5">
        <f>'AS IS'!C77</f>
        <v>2.1535356626318665</v>
      </c>
      <c r="C121" s="5">
        <f>((Supuestos!B28+Supuestos!B29)/2)*C118^(SQRT(2*(C116+1))-1)/(C116*(1-C118))*C120/60</f>
        <v>1.7609608185618797E-3</v>
      </c>
    </row>
    <row r="122" spans="1:3" ht="28.8" x14ac:dyDescent="0.3">
      <c r="A122" s="3" t="s">
        <v>234</v>
      </c>
      <c r="B122" s="4">
        <f>'AS IS'!C19*0.85/'AS IS'!C72</f>
        <v>1322.2222222222222</v>
      </c>
      <c r="C122" s="4">
        <f>'AS IS'!C19*0.85/C118</f>
        <v>3853.6061441810007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73AF-698B-496B-84E2-339DFD829648}">
  <dimension ref="A1:L15"/>
  <sheetViews>
    <sheetView tabSelected="1" workbookViewId="0">
      <selection activeCell="J6" sqref="J6"/>
    </sheetView>
  </sheetViews>
  <sheetFormatPr baseColWidth="10" defaultRowHeight="14.4" x14ac:dyDescent="0.3"/>
  <sheetData>
    <row r="1" spans="1:12" ht="36" x14ac:dyDescent="0.3">
      <c r="A1" s="23" t="s">
        <v>274</v>
      </c>
      <c r="B1" s="23" t="s">
        <v>1</v>
      </c>
      <c r="C1" s="23" t="s">
        <v>275</v>
      </c>
      <c r="D1" s="23" t="s">
        <v>276</v>
      </c>
      <c r="E1" s="23" t="s">
        <v>277</v>
      </c>
      <c r="F1" s="23" t="s">
        <v>278</v>
      </c>
      <c r="G1" s="23" t="s">
        <v>279</v>
      </c>
      <c r="H1" s="23" t="s">
        <v>280</v>
      </c>
      <c r="I1" s="23" t="s">
        <v>281</v>
      </c>
      <c r="J1" s="23" t="s">
        <v>282</v>
      </c>
      <c r="K1" s="23" t="s">
        <v>283</v>
      </c>
      <c r="L1" s="23" t="s">
        <v>284</v>
      </c>
    </row>
    <row r="2" spans="1:12" x14ac:dyDescent="0.3">
      <c r="A2" s="24" t="s">
        <v>285</v>
      </c>
      <c r="C2" s="25">
        <v>0.2</v>
      </c>
      <c r="D2" s="25">
        <v>0.2</v>
      </c>
      <c r="E2" s="25">
        <v>0.2</v>
      </c>
      <c r="F2" s="25">
        <v>0.2</v>
      </c>
      <c r="G2" s="25">
        <v>0.2</v>
      </c>
      <c r="H2" s="26">
        <f>SUM(C2:G2)</f>
        <v>1</v>
      </c>
    </row>
    <row r="3" spans="1:12" ht="68.400000000000006" x14ac:dyDescent="0.3">
      <c r="A3" s="27" t="s">
        <v>286</v>
      </c>
      <c r="B3" s="28" t="s">
        <v>287</v>
      </c>
      <c r="C3" s="29">
        <v>5</v>
      </c>
      <c r="D3" s="29">
        <v>5</v>
      </c>
      <c r="E3" s="29">
        <v>4</v>
      </c>
      <c r="F3" s="29">
        <v>1</v>
      </c>
      <c r="G3" s="29">
        <v>4</v>
      </c>
      <c r="H3" s="30">
        <f t="shared" ref="H3:H15" si="0">SUMPRODUCT(C3:G3,$C$5:$G$5)</f>
        <v>90</v>
      </c>
      <c r="I3" s="31" t="str">
        <f t="shared" ref="I3:I15" si="1">IF(H3&gt;=4,"Alto",IF(H3&gt;=3,"Medio","Bajo"))</f>
        <v>Alto</v>
      </c>
      <c r="J3" s="32" t="s">
        <v>288</v>
      </c>
      <c r="K3" s="32" t="s">
        <v>289</v>
      </c>
      <c r="L3" s="32" t="s">
        <v>290</v>
      </c>
    </row>
    <row r="4" spans="1:12" ht="57" x14ac:dyDescent="0.3">
      <c r="A4" s="27" t="s">
        <v>291</v>
      </c>
      <c r="B4" s="28" t="s">
        <v>287</v>
      </c>
      <c r="C4" s="29">
        <v>5</v>
      </c>
      <c r="D4" s="29">
        <v>5</v>
      </c>
      <c r="E4" s="29">
        <v>5</v>
      </c>
      <c r="F4" s="29">
        <v>2</v>
      </c>
      <c r="G4" s="29">
        <v>5</v>
      </c>
      <c r="H4" s="30">
        <f t="shared" si="0"/>
        <v>103</v>
      </c>
      <c r="I4" s="31" t="str">
        <f t="shared" si="1"/>
        <v>Alto</v>
      </c>
      <c r="J4" s="32" t="s">
        <v>292</v>
      </c>
      <c r="K4" s="32" t="s">
        <v>293</v>
      </c>
      <c r="L4" s="32" t="s">
        <v>294</v>
      </c>
    </row>
    <row r="5" spans="1:12" ht="68.400000000000006" x14ac:dyDescent="0.3">
      <c r="A5" s="27" t="s">
        <v>295</v>
      </c>
      <c r="B5" s="28" t="s">
        <v>296</v>
      </c>
      <c r="C5" s="29">
        <v>5</v>
      </c>
      <c r="D5" s="29">
        <v>5</v>
      </c>
      <c r="E5" s="29">
        <v>5</v>
      </c>
      <c r="F5" s="29">
        <v>4</v>
      </c>
      <c r="G5" s="29">
        <v>4</v>
      </c>
      <c r="H5" s="30">
        <f t="shared" si="0"/>
        <v>107</v>
      </c>
      <c r="I5" s="31" t="str">
        <f t="shared" si="1"/>
        <v>Alto</v>
      </c>
      <c r="J5" s="32" t="s">
        <v>292</v>
      </c>
      <c r="K5" s="32" t="s">
        <v>297</v>
      </c>
      <c r="L5" s="32" t="s">
        <v>298</v>
      </c>
    </row>
    <row r="6" spans="1:12" ht="57" x14ac:dyDescent="0.3">
      <c r="A6" s="27" t="s">
        <v>299</v>
      </c>
      <c r="B6" s="28" t="s">
        <v>296</v>
      </c>
      <c r="C6" s="29">
        <v>5</v>
      </c>
      <c r="D6" s="29">
        <v>5</v>
      </c>
      <c r="E6" s="29">
        <v>5</v>
      </c>
      <c r="F6" s="29">
        <v>4</v>
      </c>
      <c r="G6" s="29">
        <v>5</v>
      </c>
      <c r="H6" s="30">
        <f t="shared" si="0"/>
        <v>111</v>
      </c>
      <c r="I6" s="31" t="str">
        <f t="shared" si="1"/>
        <v>Alto</v>
      </c>
      <c r="J6" s="32" t="s">
        <v>292</v>
      </c>
      <c r="K6" s="32" t="s">
        <v>300</v>
      </c>
      <c r="L6" s="32" t="s">
        <v>301</v>
      </c>
    </row>
    <row r="7" spans="1:12" ht="48" x14ac:dyDescent="0.3">
      <c r="A7" s="27" t="s">
        <v>302</v>
      </c>
      <c r="B7" s="28" t="s">
        <v>296</v>
      </c>
      <c r="C7" s="29">
        <v>5</v>
      </c>
      <c r="D7" s="29">
        <v>5</v>
      </c>
      <c r="E7" s="29">
        <v>5</v>
      </c>
      <c r="F7" s="29">
        <v>1</v>
      </c>
      <c r="G7" s="29">
        <v>3</v>
      </c>
      <c r="H7" s="30">
        <f t="shared" si="0"/>
        <v>91</v>
      </c>
      <c r="I7" s="31" t="str">
        <f t="shared" si="1"/>
        <v>Alto</v>
      </c>
      <c r="J7" s="32" t="s">
        <v>303</v>
      </c>
      <c r="K7" s="32" t="s">
        <v>304</v>
      </c>
      <c r="L7" s="32" t="s">
        <v>305</v>
      </c>
    </row>
    <row r="8" spans="1:12" ht="48" x14ac:dyDescent="0.3">
      <c r="A8" s="27" t="s">
        <v>306</v>
      </c>
      <c r="B8" s="28" t="s">
        <v>307</v>
      </c>
      <c r="C8" s="29">
        <v>5</v>
      </c>
      <c r="D8" s="29">
        <v>5</v>
      </c>
      <c r="E8" s="29">
        <v>5</v>
      </c>
      <c r="F8" s="29">
        <v>3</v>
      </c>
      <c r="G8" s="29">
        <v>5</v>
      </c>
      <c r="H8" s="30">
        <f t="shared" si="0"/>
        <v>107</v>
      </c>
      <c r="I8" s="31" t="str">
        <f t="shared" si="1"/>
        <v>Alto</v>
      </c>
      <c r="J8" s="32" t="s">
        <v>303</v>
      </c>
      <c r="K8" s="32" t="s">
        <v>308</v>
      </c>
      <c r="L8" s="32" t="s">
        <v>309</v>
      </c>
    </row>
    <row r="9" spans="1:12" ht="68.400000000000006" x14ac:dyDescent="0.3">
      <c r="A9" s="27" t="s">
        <v>310</v>
      </c>
      <c r="B9" s="28" t="s">
        <v>307</v>
      </c>
      <c r="C9" s="29">
        <v>5</v>
      </c>
      <c r="D9" s="29">
        <v>4</v>
      </c>
      <c r="E9" s="29">
        <v>3</v>
      </c>
      <c r="F9" s="29">
        <v>3</v>
      </c>
      <c r="G9" s="29">
        <v>3</v>
      </c>
      <c r="H9" s="30">
        <f t="shared" si="0"/>
        <v>84</v>
      </c>
      <c r="I9" s="31" t="str">
        <f t="shared" si="1"/>
        <v>Alto</v>
      </c>
      <c r="J9" s="32" t="s">
        <v>311</v>
      </c>
      <c r="K9" s="32" t="s">
        <v>312</v>
      </c>
      <c r="L9" s="32" t="s">
        <v>313</v>
      </c>
    </row>
    <row r="10" spans="1:12" ht="57" x14ac:dyDescent="0.3">
      <c r="A10" s="27" t="s">
        <v>314</v>
      </c>
      <c r="B10" s="28" t="s">
        <v>307</v>
      </c>
      <c r="C10" s="29">
        <v>3</v>
      </c>
      <c r="D10" s="29">
        <v>3</v>
      </c>
      <c r="E10" s="29">
        <v>2</v>
      </c>
      <c r="F10" s="29">
        <v>2</v>
      </c>
      <c r="G10" s="29">
        <v>3</v>
      </c>
      <c r="H10" s="30">
        <f t="shared" si="0"/>
        <v>60</v>
      </c>
      <c r="I10" s="31" t="str">
        <f t="shared" si="1"/>
        <v>Alto</v>
      </c>
      <c r="J10" s="32" t="s">
        <v>315</v>
      </c>
      <c r="K10" s="32" t="s">
        <v>316</v>
      </c>
      <c r="L10" s="32" t="s">
        <v>317</v>
      </c>
    </row>
    <row r="11" spans="1:12" ht="45.6" x14ac:dyDescent="0.3">
      <c r="A11" s="27" t="s">
        <v>318</v>
      </c>
      <c r="B11" s="28" t="s">
        <v>307</v>
      </c>
      <c r="C11" s="29">
        <v>3</v>
      </c>
      <c r="D11" s="29">
        <v>4</v>
      </c>
      <c r="E11" s="29">
        <v>3</v>
      </c>
      <c r="F11" s="29">
        <v>3</v>
      </c>
      <c r="G11" s="29">
        <v>3</v>
      </c>
      <c r="H11" s="30">
        <f t="shared" si="0"/>
        <v>74</v>
      </c>
      <c r="I11" s="31" t="str">
        <f t="shared" si="1"/>
        <v>Alto</v>
      </c>
      <c r="J11" s="32" t="s">
        <v>315</v>
      </c>
      <c r="K11" s="32" t="s">
        <v>319</v>
      </c>
      <c r="L11" s="32" t="s">
        <v>320</v>
      </c>
    </row>
    <row r="12" spans="1:12" ht="68.400000000000006" x14ac:dyDescent="0.3">
      <c r="A12" s="27" t="s">
        <v>321</v>
      </c>
      <c r="B12" s="28" t="s">
        <v>322</v>
      </c>
      <c r="C12" s="29">
        <v>2</v>
      </c>
      <c r="D12" s="29">
        <v>2</v>
      </c>
      <c r="E12" s="29">
        <v>2</v>
      </c>
      <c r="F12" s="29">
        <v>1</v>
      </c>
      <c r="G12" s="29">
        <v>5</v>
      </c>
      <c r="H12" s="30">
        <f t="shared" si="0"/>
        <v>54</v>
      </c>
      <c r="I12" s="31" t="str">
        <f t="shared" si="1"/>
        <v>Alto</v>
      </c>
      <c r="J12" s="32" t="s">
        <v>323</v>
      </c>
      <c r="K12" s="32" t="s">
        <v>324</v>
      </c>
      <c r="L12" s="32" t="s">
        <v>325</v>
      </c>
    </row>
    <row r="13" spans="1:12" ht="68.400000000000006" x14ac:dyDescent="0.3">
      <c r="A13" s="27" t="s">
        <v>326</v>
      </c>
      <c r="B13" s="28" t="s">
        <v>322</v>
      </c>
      <c r="C13" s="29">
        <v>5</v>
      </c>
      <c r="D13" s="29">
        <v>4</v>
      </c>
      <c r="E13" s="29">
        <v>4</v>
      </c>
      <c r="F13" s="29">
        <v>3</v>
      </c>
      <c r="G13" s="29">
        <v>3</v>
      </c>
      <c r="H13" s="30">
        <f t="shared" si="0"/>
        <v>89</v>
      </c>
      <c r="I13" s="31" t="str">
        <f t="shared" si="1"/>
        <v>Alto</v>
      </c>
      <c r="J13" s="32" t="s">
        <v>327</v>
      </c>
      <c r="K13" s="32" t="s">
        <v>328</v>
      </c>
      <c r="L13" s="32" t="s">
        <v>329</v>
      </c>
    </row>
    <row r="14" spans="1:12" ht="48" x14ac:dyDescent="0.3">
      <c r="A14" s="27" t="s">
        <v>330</v>
      </c>
      <c r="B14" s="28" t="s">
        <v>331</v>
      </c>
      <c r="C14" s="29">
        <v>4</v>
      </c>
      <c r="D14" s="29">
        <v>5</v>
      </c>
      <c r="E14" s="29">
        <v>5</v>
      </c>
      <c r="F14" s="29">
        <v>3</v>
      </c>
      <c r="G14" s="29">
        <v>4</v>
      </c>
      <c r="H14" s="30">
        <f t="shared" si="0"/>
        <v>98</v>
      </c>
      <c r="I14" s="31" t="str">
        <f t="shared" si="1"/>
        <v>Alto</v>
      </c>
      <c r="J14" s="32" t="s">
        <v>292</v>
      </c>
      <c r="K14" s="32" t="s">
        <v>332</v>
      </c>
      <c r="L14" s="32" t="s">
        <v>333</v>
      </c>
    </row>
    <row r="15" spans="1:12" ht="36" x14ac:dyDescent="0.3">
      <c r="A15" s="27" t="s">
        <v>334</v>
      </c>
      <c r="B15" s="28" t="s">
        <v>335</v>
      </c>
      <c r="C15" s="29">
        <v>4</v>
      </c>
      <c r="D15" s="29">
        <v>5</v>
      </c>
      <c r="E15" s="29">
        <v>5</v>
      </c>
      <c r="F15" s="29">
        <v>4</v>
      </c>
      <c r="G15" s="29">
        <v>4</v>
      </c>
      <c r="H15" s="30">
        <f t="shared" si="0"/>
        <v>102</v>
      </c>
      <c r="I15" s="31" t="str">
        <f t="shared" si="1"/>
        <v>Alto</v>
      </c>
      <c r="J15" s="32" t="s">
        <v>292</v>
      </c>
      <c r="K15" s="32" t="s">
        <v>336</v>
      </c>
      <c r="L15" s="32" t="s">
        <v>337</v>
      </c>
    </row>
  </sheetData>
  <conditionalFormatting sqref="I3:I15">
    <cfRule type="expression" dxfId="2" priority="1">
      <formula>I3="Alto"</formula>
    </cfRule>
    <cfRule type="expression" dxfId="1" priority="2">
      <formula>I3="Medio"</formula>
    </cfRule>
    <cfRule type="expression" dxfId="0" priority="3">
      <formula>I3="Bajo"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showGridLines="0" zoomScaleNormal="100" workbookViewId="0"/>
  </sheetViews>
  <sheetFormatPr baseColWidth="10" defaultColWidth="8.6640625" defaultRowHeight="14.4" x14ac:dyDescent="0.3"/>
  <cols>
    <col min="1" max="1" width="50" customWidth="1"/>
    <col min="2" max="2" width="14" customWidth="1"/>
    <col min="3" max="3" width="16" customWidth="1"/>
    <col min="4" max="4" width="72" customWidth="1"/>
  </cols>
  <sheetData>
    <row r="1" spans="1:4" x14ac:dyDescent="0.3">
      <c r="A1" s="2" t="s">
        <v>131</v>
      </c>
      <c r="B1" s="2" t="s">
        <v>46</v>
      </c>
      <c r="C1" s="2"/>
      <c r="D1" s="2" t="s">
        <v>235</v>
      </c>
    </row>
    <row r="2" spans="1:4" ht="28.8" x14ac:dyDescent="0.3">
      <c r="A2" s="3" t="s">
        <v>236</v>
      </c>
      <c r="B2" s="7">
        <v>0.25</v>
      </c>
      <c r="C2" s="3"/>
      <c r="D2" s="3" t="s">
        <v>237</v>
      </c>
    </row>
    <row r="3" spans="1:4" ht="28.8" x14ac:dyDescent="0.3">
      <c r="A3" s="3" t="s">
        <v>238</v>
      </c>
      <c r="B3" s="7">
        <f>1/3</f>
        <v>0.33333333333333331</v>
      </c>
      <c r="C3" s="3"/>
      <c r="D3" s="3" t="s">
        <v>239</v>
      </c>
    </row>
    <row r="4" spans="1:4" x14ac:dyDescent="0.3">
      <c r="A4" s="3" t="s">
        <v>240</v>
      </c>
      <c r="B4" s="7">
        <f>1/3</f>
        <v>0.33333333333333331</v>
      </c>
      <c r="C4" s="3"/>
      <c r="D4" s="3" t="s">
        <v>241</v>
      </c>
    </row>
    <row r="5" spans="1:4" x14ac:dyDescent="0.3">
      <c r="A5" s="3" t="s">
        <v>242</v>
      </c>
      <c r="B5" s="7">
        <v>0.4</v>
      </c>
      <c r="C5" s="3"/>
      <c r="D5" s="3" t="s">
        <v>246</v>
      </c>
    </row>
    <row r="6" spans="1:4" x14ac:dyDescent="0.3">
      <c r="A6" s="3" t="s">
        <v>243</v>
      </c>
      <c r="B6" s="7">
        <v>0.45</v>
      </c>
      <c r="C6" s="3"/>
      <c r="D6" s="3" t="s">
        <v>246</v>
      </c>
    </row>
    <row r="7" spans="1:4" x14ac:dyDescent="0.3">
      <c r="A7" s="3" t="s">
        <v>244</v>
      </c>
      <c r="B7" s="7">
        <f>1-B5-B6</f>
        <v>0.14999999999999997</v>
      </c>
      <c r="C7" s="3"/>
      <c r="D7" s="3" t="s">
        <v>123</v>
      </c>
    </row>
    <row r="8" spans="1:4" x14ac:dyDescent="0.3">
      <c r="A8" s="3" t="s">
        <v>197</v>
      </c>
      <c r="B8" s="7">
        <v>0.15</v>
      </c>
      <c r="C8" s="3"/>
      <c r="D8" s="3" t="s">
        <v>338</v>
      </c>
    </row>
    <row r="9" spans="1:4" x14ac:dyDescent="0.3">
      <c r="A9" s="3" t="s">
        <v>245</v>
      </c>
      <c r="B9" s="4">
        <v>5</v>
      </c>
      <c r="C9" s="3"/>
      <c r="D9" s="3" t="s">
        <v>246</v>
      </c>
    </row>
    <row r="10" spans="1:4" x14ac:dyDescent="0.3">
      <c r="A10" s="3" t="s">
        <v>247</v>
      </c>
      <c r="B10" s="7">
        <v>0.9</v>
      </c>
      <c r="C10" s="3"/>
      <c r="D10" s="3" t="s">
        <v>248</v>
      </c>
    </row>
    <row r="11" spans="1:4" ht="28.8" x14ac:dyDescent="0.3">
      <c r="A11" s="3" t="s">
        <v>249</v>
      </c>
      <c r="B11" s="7">
        <v>0.95</v>
      </c>
      <c r="C11" s="3"/>
      <c r="D11" s="3" t="s">
        <v>250</v>
      </c>
    </row>
    <row r="12" spans="1:4" x14ac:dyDescent="0.3">
      <c r="A12" s="3" t="s">
        <v>251</v>
      </c>
      <c r="B12" s="7">
        <v>0.5</v>
      </c>
      <c r="C12" s="3"/>
      <c r="D12" s="3" t="s">
        <v>252</v>
      </c>
    </row>
    <row r="13" spans="1:4" x14ac:dyDescent="0.3">
      <c r="A13" s="3" t="s">
        <v>253</v>
      </c>
      <c r="B13" s="4">
        <v>0</v>
      </c>
      <c r="C13" s="3"/>
      <c r="D13" s="3" t="s">
        <v>254</v>
      </c>
    </row>
    <row r="14" spans="1:4" x14ac:dyDescent="0.3">
      <c r="A14" s="3" t="s">
        <v>255</v>
      </c>
      <c r="B14" s="7">
        <v>0.4</v>
      </c>
      <c r="C14" s="3"/>
      <c r="D14" s="3" t="s">
        <v>256</v>
      </c>
    </row>
    <row r="16" spans="1:4" ht="43.2" x14ac:dyDescent="0.3">
      <c r="A16" s="2" t="s">
        <v>257</v>
      </c>
      <c r="B16" s="2" t="s">
        <v>258</v>
      </c>
      <c r="C16" s="2" t="s">
        <v>259</v>
      </c>
      <c r="D16" s="2" t="s">
        <v>235</v>
      </c>
    </row>
    <row r="17" spans="1:4" x14ac:dyDescent="0.3">
      <c r="A17" s="3" t="s">
        <v>260</v>
      </c>
      <c r="B17" s="7">
        <v>0.45</v>
      </c>
      <c r="C17" s="7">
        <v>0.75</v>
      </c>
      <c r="D17" s="3" t="s">
        <v>261</v>
      </c>
    </row>
    <row r="18" spans="1:4" x14ac:dyDescent="0.3">
      <c r="A18" s="3" t="s">
        <v>262</v>
      </c>
      <c r="B18" s="7">
        <v>6.5000000000000002E-2</v>
      </c>
      <c r="C18" s="7">
        <v>1</v>
      </c>
      <c r="D18" s="3" t="s">
        <v>263</v>
      </c>
    </row>
    <row r="19" spans="1:4" x14ac:dyDescent="0.3">
      <c r="A19" s="3" t="s">
        <v>264</v>
      </c>
      <c r="B19" s="7">
        <v>6.5000000000000002E-2</v>
      </c>
      <c r="C19" s="7">
        <v>0.5</v>
      </c>
      <c r="D19" s="3" t="s">
        <v>265</v>
      </c>
    </row>
    <row r="20" spans="1:4" x14ac:dyDescent="0.3">
      <c r="A20" s="3" t="s">
        <v>266</v>
      </c>
      <c r="B20" s="7">
        <v>0.08</v>
      </c>
      <c r="C20" s="7">
        <v>0.95</v>
      </c>
      <c r="D20" s="3" t="s">
        <v>267</v>
      </c>
    </row>
    <row r="21" spans="1:4" x14ac:dyDescent="0.3">
      <c r="A21" s="3" t="s">
        <v>268</v>
      </c>
      <c r="B21" s="7">
        <v>0.34</v>
      </c>
      <c r="C21" s="7">
        <v>0.5</v>
      </c>
      <c r="D21" s="3" t="s">
        <v>123</v>
      </c>
    </row>
    <row r="22" spans="1:4" x14ac:dyDescent="0.3">
      <c r="A22" s="16" t="s">
        <v>24</v>
      </c>
      <c r="B22" s="15">
        <f>SUM(B17:B21)</f>
        <v>1</v>
      </c>
    </row>
    <row r="24" spans="1:4" x14ac:dyDescent="0.3">
      <c r="A24" s="16" t="s">
        <v>269</v>
      </c>
      <c r="C24" s="15">
        <f>SUMPRODUCT(B17:B21,C17:C21)</f>
        <v>0.68100000000000005</v>
      </c>
    </row>
    <row r="27" spans="1:4" x14ac:dyDescent="0.3">
      <c r="A27" s="2" t="s">
        <v>270</v>
      </c>
      <c r="B27" s="2" t="s">
        <v>46</v>
      </c>
      <c r="C27" s="2"/>
      <c r="D27" s="2" t="s">
        <v>235</v>
      </c>
    </row>
    <row r="28" spans="1:4" x14ac:dyDescent="0.3">
      <c r="A28" s="3" t="s">
        <v>96</v>
      </c>
      <c r="B28" s="6">
        <v>1</v>
      </c>
      <c r="C28" s="3"/>
      <c r="D28" s="3" t="s">
        <v>271</v>
      </c>
    </row>
    <row r="29" spans="1:4" x14ac:dyDescent="0.3">
      <c r="A29" s="3" t="s">
        <v>98</v>
      </c>
      <c r="B29" s="6">
        <v>1</v>
      </c>
      <c r="C29" s="3"/>
      <c r="D29" s="3" t="s">
        <v>272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AS IS</vt:lpstr>
      <vt:lpstr>TO BE</vt:lpstr>
      <vt:lpstr>Matriz_Automatizables</vt:lpstr>
      <vt:lpstr>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Asistente Dirección Operaciones</cp:lastModifiedBy>
  <cp:revision>1</cp:revision>
  <dcterms:created xsi:type="dcterms:W3CDTF">2026-10-05T08:39:02Z</dcterms:created>
  <dcterms:modified xsi:type="dcterms:W3CDTF">2026-10-05T10:09:12Z</dcterms:modified>
  <dc:language>en-US</dc:language>
</cp:coreProperties>
</file>